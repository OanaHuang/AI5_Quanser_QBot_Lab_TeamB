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la.sharepoint.com/sites/AI5-TeamB/Shared Documents/Checking availability/"/>
    </mc:Choice>
  </mc:AlternateContent>
  <xr:revisionPtr revIDLastSave="450" documentId="8_{71812E3A-98E6-4A57-AB2F-10509FE91CDF}" xr6:coauthVersionLast="47" xr6:coauthVersionMax="47" xr10:uidLastSave="{59954774-91D5-4D26-902C-B13949B21892}"/>
  <bookViews>
    <workbookView xWindow="28680" yWindow="-5355" windowWidth="16440" windowHeight="28440" firstSheet="1" activeTab="1" xr2:uid="{01D5C522-118A-4CE1-884B-71CF7F78788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" l="1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C42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C41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C43" i="2"/>
  <c r="C40" i="2"/>
</calcChain>
</file>

<file path=xl/sharedStrings.xml><?xml version="1.0" encoding="utf-8"?>
<sst xmlns="http://schemas.openxmlformats.org/spreadsheetml/2006/main" count="250" uniqueCount="68">
  <si>
    <t>CNN</t>
  </si>
  <si>
    <t>kP</t>
  </si>
  <si>
    <t>kD</t>
  </si>
  <si>
    <t>col_bias</t>
  </si>
  <si>
    <t>Speed</t>
  </si>
  <si>
    <t>Straight</t>
  </si>
  <si>
    <t>Curve</t>
  </si>
  <si>
    <t>Cross-Road</t>
  </si>
  <si>
    <t>T-Junction</t>
  </si>
  <si>
    <t>Out-Route</t>
  </si>
  <si>
    <t>Notes</t>
  </si>
  <si>
    <t>Struggles to turn left at crossroads, is too slow. Tried speeding up, but it didn't work, just gets the robot to go fast in a straight line</t>
  </si>
  <si>
    <t>Not enough kP, and goes past junction too fast</t>
  </si>
  <si>
    <t>Almost turned at the cross-road!</t>
  </si>
  <si>
    <t>Turns too aggressively now</t>
  </si>
  <si>
    <t>Didn't turn, it does rotate fast though</t>
  </si>
  <si>
    <t>Did do the first turn, but needs more kP everywhere else</t>
  </si>
  <si>
    <t>It works! Goes straight at T junctions where straight is available. And is overall slow</t>
  </si>
  <si>
    <t>Spinning a lot at junctions now</t>
  </si>
  <si>
    <t>Getting a little confused at junctions</t>
  </si>
  <si>
    <t>Was okay, kP is still quite high for cross-road, but still not high enough to reliably complete a 90 deg turn. Got confused at T-Junction</t>
  </si>
  <si>
    <t>CNN Conf_Threshold</t>
  </si>
  <si>
    <t>Low Confidence</t>
  </si>
  <si>
    <t>T-Junctions rotate too slowly, and can only go left</t>
  </si>
  <si>
    <t>Not great. Overal kP I think is a little low. Same problems as before. Maybe can try going slower</t>
  </si>
  <si>
    <t>Run</t>
  </si>
  <si>
    <t>Classification</t>
  </si>
  <si>
    <t>Parameter</t>
  </si>
  <si>
    <t>Crossroad</t>
  </si>
  <si>
    <t>Default</t>
  </si>
  <si>
    <t>Threshold</t>
  </si>
  <si>
    <t>Infer Every</t>
  </si>
  <si>
    <t>Junction</t>
  </si>
  <si>
    <t>Stop Duration</t>
  </si>
  <si>
    <t>Turn Speed</t>
  </si>
  <si>
    <t>Turn Duration</t>
  </si>
  <si>
    <t>Exit Speed</t>
  </si>
  <si>
    <t>Min Drive Time</t>
  </si>
  <si>
    <t>Cooldown Frames</t>
  </si>
  <si>
    <t>Metrics</t>
  </si>
  <si>
    <t>Average Speed</t>
  </si>
  <si>
    <t>RMSE Line Error</t>
  </si>
  <si>
    <t>No Line</t>
  </si>
  <si>
    <t>Corners Succeeded</t>
  </si>
  <si>
    <t>Corners Failed</t>
  </si>
  <si>
    <t>Corner Success Rate</t>
  </si>
  <si>
    <t>Crashed at 1:50, went right at T-junction</t>
  </si>
  <si>
    <t>Next Steps</t>
  </si>
  <si>
    <t>Run Comments</t>
  </si>
  <si>
    <t>Try to go faster on straights, and more kP in corners/straights to follow line better</t>
  </si>
  <si>
    <t>2-Minute Test Cycles</t>
  </si>
  <si>
    <t>Same crash at 2:00, right at T-junction</t>
  </si>
  <si>
    <t>Only keep this Kp in corners, not straights</t>
  </si>
  <si>
    <t>Same crash at 1:40, manually put back on track</t>
  </si>
  <si>
    <t>Try going faster!</t>
  </si>
  <si>
    <t>Little bit slower on straights</t>
  </si>
  <si>
    <t>Same occasional crashes</t>
  </si>
  <si>
    <t>Still missing a few junctions</t>
  </si>
  <si>
    <t>Little bit slower still</t>
  </si>
  <si>
    <t>Got lost once</t>
  </si>
  <si>
    <t>Lower kD</t>
  </si>
  <si>
    <t>Bad</t>
  </si>
  <si>
    <t>Speed runs</t>
  </si>
  <si>
    <t>Min</t>
  </si>
  <si>
    <t>Max</t>
  </si>
  <si>
    <t>Corner</t>
  </si>
  <si>
    <t>No Line Instances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</si>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</sst>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4" borderId="1" applyNumberFormat="0" applyAlignment="0" applyProtection="0"/>
    <xf numFmtId="0" fontId="3" fillId="5" borderId="1" applyNumberFormat="0" applyAlignment="0" applyProtection="0"/>
  </cellStyleXfs>
  <cellXfs count="9">
    <xf numFmtId="0" fontId="0" fillId="0" borderId="0" xfId="0"/>
    <xf numFmtId="0" fontId="0" fillId="3" borderId="0" xfId="0" applyFill="1"/>
    <xf numFmtId="0" fontId="1" fillId="2" borderId="0" xfId="1"/>
    <xf numFmtId="0" fontId="0" fillId="0" borderId="0" xfId="0" applyAlignment="1">
      <alignment wrapText="1"/>
    </xf>
    <xf numFmtId="9" fontId="0" fillId="0" borderId="0" xfId="0" applyNumberFormat="1"/>
    <xf numFmtId="0" fontId="2" fillId="4" borderId="1" xfId="2"/>
    <xf numFmtId="0" fontId="0" fillId="0" borderId="0" xfId="0" applyFill="1" applyBorder="1"/>
    <xf numFmtId="9" fontId="0" fillId="0" borderId="0" xfId="0" applyNumberFormat="1" applyFill="1" applyBorder="1"/>
    <xf numFmtId="0" fontId="3" fillId="5" borderId="1" xfId="3"/>
  </cellXfs>
  <cellStyles count="4">
    <cellStyle name="Calculation" xfId="3" builtinId="22"/>
    <cellStyle name="Good" xfId="1" builtinId="26"/>
    <cellStyle name="Input" xfId="2" builtinId="20"/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25C6D"/>
      <color rgb="FFD87E2A"/>
      <color rgb="FF2F7F79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Benchmark</a:t>
            </a:r>
            <a:r>
              <a:rPr lang="en-GB" baseline="0"/>
              <a:t> Performance Iteration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Sheet2!$B$41</c:f>
              <c:strCache>
                <c:ptCount val="1"/>
                <c:pt idx="0">
                  <c:v>RMSE Line Error</c:v>
                </c:pt>
              </c:strCache>
            </c:strRef>
          </c:tx>
          <c:spPr>
            <a:ln w="28575" cap="rnd">
              <a:solidFill>
                <a:srgbClr val="1F4E79"/>
              </a:solidFill>
              <a:round/>
            </a:ln>
            <a:effectLst/>
          </c:spPr>
          <c:marker>
            <c:symbol val="none"/>
          </c:marker>
          <c:yVal>
            <c:numRef>
              <c:f>Sheet2!$C$41:$V$41</c:f>
              <c:numCache>
                <c:formatCode>0%</c:formatCode>
                <c:ptCount val="20"/>
                <c:pt idx="0">
                  <c:v>0.54249999999999998</c:v>
                </c:pt>
                <c:pt idx="1">
                  <c:v>0.49249999999999999</c:v>
                </c:pt>
                <c:pt idx="2">
                  <c:v>0.42</c:v>
                </c:pt>
                <c:pt idx="3">
                  <c:v>0.42249999999999999</c:v>
                </c:pt>
                <c:pt idx="4">
                  <c:v>0.4325</c:v>
                </c:pt>
                <c:pt idx="5">
                  <c:v>0.42</c:v>
                </c:pt>
                <c:pt idx="6">
                  <c:v>0.52249999999999996</c:v>
                </c:pt>
                <c:pt idx="7">
                  <c:v>0.41499999999999998</c:v>
                </c:pt>
                <c:pt idx="8">
                  <c:v>0.40749999999999997</c:v>
                </c:pt>
                <c:pt idx="9">
                  <c:v>0.45750000000000002</c:v>
                </c:pt>
                <c:pt idx="10">
                  <c:v>0.50249999999999995</c:v>
                </c:pt>
                <c:pt idx="11">
                  <c:v>0.42</c:v>
                </c:pt>
                <c:pt idx="12">
                  <c:v>0.43</c:v>
                </c:pt>
                <c:pt idx="13">
                  <c:v>0.45750000000000002</c:v>
                </c:pt>
                <c:pt idx="14">
                  <c:v>0.43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A6-4180-A0CE-9FBAE8B1CDD7}"/>
            </c:ext>
          </c:extLst>
        </c:ser>
        <c:ser>
          <c:idx val="0"/>
          <c:order val="1"/>
          <c:tx>
            <c:strRef>
              <c:f>Sheet2!$B$40</c:f>
              <c:strCache>
                <c:ptCount val="1"/>
                <c:pt idx="0">
                  <c:v>Average Speed</c:v>
                </c:pt>
              </c:strCache>
            </c:strRef>
          </c:tx>
          <c:spPr>
            <a:ln w="28575" cap="rnd">
              <a:solidFill>
                <a:srgbClr val="2F7F79"/>
              </a:solidFill>
              <a:round/>
            </a:ln>
            <a:effectLst/>
          </c:spPr>
          <c:marker>
            <c:symbol val="none"/>
          </c:marker>
          <c:yVal>
            <c:numRef>
              <c:f>Sheet2!$C$40:$V$40</c:f>
              <c:numCache>
                <c:formatCode>0%</c:formatCode>
                <c:ptCount val="20"/>
                <c:pt idx="0">
                  <c:v>0</c:v>
                </c:pt>
                <c:pt idx="1">
                  <c:v>7.086614173228345E-2</c:v>
                </c:pt>
                <c:pt idx="2">
                  <c:v>0.22047244094488189</c:v>
                </c:pt>
                <c:pt idx="3">
                  <c:v>0.44881889763779531</c:v>
                </c:pt>
                <c:pt idx="4">
                  <c:v>0.55118110236220463</c:v>
                </c:pt>
                <c:pt idx="5">
                  <c:v>0.64566929133858275</c:v>
                </c:pt>
                <c:pt idx="6">
                  <c:v>0.65354330708661412</c:v>
                </c:pt>
                <c:pt idx="7">
                  <c:v>0.64566929133858275</c:v>
                </c:pt>
                <c:pt idx="8">
                  <c:v>1</c:v>
                </c:pt>
                <c:pt idx="9">
                  <c:v>0.83464566929133843</c:v>
                </c:pt>
                <c:pt idx="10">
                  <c:v>0.69291338582677164</c:v>
                </c:pt>
                <c:pt idx="11">
                  <c:v>0.74803149606299202</c:v>
                </c:pt>
                <c:pt idx="12">
                  <c:v>0.71653543307086609</c:v>
                </c:pt>
                <c:pt idx="13">
                  <c:v>0.73228346456692917</c:v>
                </c:pt>
                <c:pt idx="14">
                  <c:v>0.76377952755905509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6-4180-A0CE-9FBAE8B1CDD7}"/>
            </c:ext>
          </c:extLst>
        </c:ser>
        <c:ser>
          <c:idx val="2"/>
          <c:order val="2"/>
          <c:tx>
            <c:strRef>
              <c:f>Sheet2!$B$42</c:f>
              <c:strCache>
                <c:ptCount val="1"/>
                <c:pt idx="0">
                  <c:v>No Line Instances</c:v>
                </c:pt>
              </c:strCache>
            </c:strRef>
          </c:tx>
          <c:spPr>
            <a:ln w="28575" cap="rnd">
              <a:solidFill>
                <a:srgbClr val="D87E2A"/>
              </a:solidFill>
              <a:round/>
            </a:ln>
            <a:effectLst/>
          </c:spPr>
          <c:marker>
            <c:symbol val="none"/>
          </c:marker>
          <c:yVal>
            <c:numRef>
              <c:f>Sheet2!$C$42:$V$42</c:f>
              <c:numCache>
                <c:formatCode>0%</c:formatCode>
                <c:ptCount val="20"/>
                <c:pt idx="0">
                  <c:v>0.22</c:v>
                </c:pt>
                <c:pt idx="1">
                  <c:v>0.2</c:v>
                </c:pt>
                <c:pt idx="2">
                  <c:v>0.19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0.08</c:v>
                </c:pt>
                <c:pt idx="6">
                  <c:v>0.06</c:v>
                </c:pt>
                <c:pt idx="7">
                  <c:v>0.15</c:v>
                </c:pt>
                <c:pt idx="8">
                  <c:v>0.13</c:v>
                </c:pt>
                <c:pt idx="9">
                  <c:v>0.1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0.09</c:v>
                </c:pt>
                <c:pt idx="14">
                  <c:v>0.09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A6-4180-A0CE-9FBAE8B1CDD7}"/>
            </c:ext>
          </c:extLst>
        </c:ser>
        <c:ser>
          <c:idx val="3"/>
          <c:order val="3"/>
          <c:tx>
            <c:strRef>
              <c:f>Sheet2!$B$43</c:f>
              <c:strCache>
                <c:ptCount val="1"/>
                <c:pt idx="0">
                  <c:v>Corner Success Rate</c:v>
                </c:pt>
              </c:strCache>
            </c:strRef>
          </c:tx>
          <c:spPr>
            <a:ln w="28575" cap="rnd">
              <a:solidFill>
                <a:srgbClr val="D25C6D"/>
              </a:solidFill>
              <a:round/>
            </a:ln>
            <a:effectLst/>
          </c:spPr>
          <c:marker>
            <c:symbol val="none"/>
          </c:marker>
          <c:yVal>
            <c:numRef>
              <c:f>Sheet2!$C$43:$V$43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0.54545454545454541</c:v>
                </c:pt>
                <c:pt idx="9">
                  <c:v>0.66666666666666663</c:v>
                </c:pt>
                <c:pt idx="10">
                  <c:v>1</c:v>
                </c:pt>
                <c:pt idx="11">
                  <c:v>0.91666666666666663</c:v>
                </c:pt>
                <c:pt idx="12">
                  <c:v>0.8</c:v>
                </c:pt>
                <c:pt idx="13">
                  <c:v>1</c:v>
                </c:pt>
                <c:pt idx="14">
                  <c:v>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A6-4180-A0CE-9FBAE8B1C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347375"/>
        <c:axId val="2015344975"/>
      </c:scatterChart>
      <c:valAx>
        <c:axId val="2015347375"/>
        <c:scaling>
          <c:orientation val="minMax"/>
          <c:max val="15"/>
          <c:min val="1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44975"/>
        <c:crosses val="autoZero"/>
        <c:crossBetween val="midCat"/>
      </c:valAx>
      <c:valAx>
        <c:axId val="20153449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15347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Benchmark</a:t>
            </a:r>
            <a:r>
              <a:rPr lang="en-GB" baseline="0"/>
              <a:t> Performance Iteration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Sheet2!$B$41</c:f>
              <c:strCache>
                <c:ptCount val="1"/>
                <c:pt idx="0">
                  <c:v>RMSE Line Error</c:v>
                </c:pt>
              </c:strCache>
            </c:strRef>
          </c:tx>
          <c:spPr>
            <a:ln w="50800" cap="rnd">
              <a:solidFill>
                <a:srgbClr val="1F4E79"/>
              </a:solidFill>
              <a:round/>
            </a:ln>
            <a:effectLst/>
          </c:spPr>
          <c:marker>
            <c:symbol val="none"/>
          </c:marker>
          <c:yVal>
            <c:numRef>
              <c:f>Sheet2!$C$41:$V$41</c:f>
              <c:numCache>
                <c:formatCode>0%</c:formatCode>
                <c:ptCount val="20"/>
                <c:pt idx="0">
                  <c:v>0.54249999999999998</c:v>
                </c:pt>
                <c:pt idx="1">
                  <c:v>0.49249999999999999</c:v>
                </c:pt>
                <c:pt idx="2">
                  <c:v>0.42</c:v>
                </c:pt>
                <c:pt idx="3">
                  <c:v>0.42249999999999999</c:v>
                </c:pt>
                <c:pt idx="4">
                  <c:v>0.4325</c:v>
                </c:pt>
                <c:pt idx="5">
                  <c:v>0.42</c:v>
                </c:pt>
                <c:pt idx="6">
                  <c:v>0.52249999999999996</c:v>
                </c:pt>
                <c:pt idx="7">
                  <c:v>0.41499999999999998</c:v>
                </c:pt>
                <c:pt idx="8">
                  <c:v>0.40749999999999997</c:v>
                </c:pt>
                <c:pt idx="9">
                  <c:v>0.45750000000000002</c:v>
                </c:pt>
                <c:pt idx="10">
                  <c:v>0.50249999999999995</c:v>
                </c:pt>
                <c:pt idx="11">
                  <c:v>0.42</c:v>
                </c:pt>
                <c:pt idx="12">
                  <c:v>0.43</c:v>
                </c:pt>
                <c:pt idx="13">
                  <c:v>0.45750000000000002</c:v>
                </c:pt>
                <c:pt idx="14">
                  <c:v>0.43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94-4C75-B4E0-7ECF06D3E5ED}"/>
            </c:ext>
          </c:extLst>
        </c:ser>
        <c:ser>
          <c:idx val="0"/>
          <c:order val="1"/>
          <c:tx>
            <c:strRef>
              <c:f>Sheet2!$B$40</c:f>
              <c:strCache>
                <c:ptCount val="1"/>
                <c:pt idx="0">
                  <c:v>Average Speed</c:v>
                </c:pt>
              </c:strCache>
            </c:strRef>
          </c:tx>
          <c:spPr>
            <a:ln w="25400" cap="rnd">
              <a:solidFill>
                <a:srgbClr val="2F7F79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Sheet2!$C$40:$V$40</c:f>
              <c:numCache>
                <c:formatCode>0%</c:formatCode>
                <c:ptCount val="20"/>
                <c:pt idx="0">
                  <c:v>0</c:v>
                </c:pt>
                <c:pt idx="1">
                  <c:v>7.086614173228345E-2</c:v>
                </c:pt>
                <c:pt idx="2">
                  <c:v>0.22047244094488189</c:v>
                </c:pt>
                <c:pt idx="3">
                  <c:v>0.44881889763779531</c:v>
                </c:pt>
                <c:pt idx="4">
                  <c:v>0.55118110236220463</c:v>
                </c:pt>
                <c:pt idx="5">
                  <c:v>0.64566929133858275</c:v>
                </c:pt>
                <c:pt idx="6">
                  <c:v>0.65354330708661412</c:v>
                </c:pt>
                <c:pt idx="7">
                  <c:v>0.64566929133858275</c:v>
                </c:pt>
                <c:pt idx="8">
                  <c:v>1</c:v>
                </c:pt>
                <c:pt idx="9">
                  <c:v>0.83464566929133843</c:v>
                </c:pt>
                <c:pt idx="10">
                  <c:v>0.69291338582677164</c:v>
                </c:pt>
                <c:pt idx="11">
                  <c:v>0.74803149606299202</c:v>
                </c:pt>
                <c:pt idx="12">
                  <c:v>0.71653543307086609</c:v>
                </c:pt>
                <c:pt idx="13">
                  <c:v>0.73228346456692917</c:v>
                </c:pt>
                <c:pt idx="14">
                  <c:v>0.76377952755905509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94-4C75-B4E0-7ECF06D3E5ED}"/>
            </c:ext>
          </c:extLst>
        </c:ser>
        <c:ser>
          <c:idx val="2"/>
          <c:order val="2"/>
          <c:tx>
            <c:strRef>
              <c:f>Sheet2!$B$42</c:f>
              <c:strCache>
                <c:ptCount val="1"/>
                <c:pt idx="0">
                  <c:v>No Line Instances</c:v>
                </c:pt>
              </c:strCache>
            </c:strRef>
          </c:tx>
          <c:spPr>
            <a:ln w="25400" cap="rnd">
              <a:solidFill>
                <a:srgbClr val="D87E2A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Sheet2!$C$42:$V$42</c:f>
              <c:numCache>
                <c:formatCode>0%</c:formatCode>
                <c:ptCount val="20"/>
                <c:pt idx="0">
                  <c:v>0.22</c:v>
                </c:pt>
                <c:pt idx="1">
                  <c:v>0.2</c:v>
                </c:pt>
                <c:pt idx="2">
                  <c:v>0.19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0.08</c:v>
                </c:pt>
                <c:pt idx="6">
                  <c:v>0.06</c:v>
                </c:pt>
                <c:pt idx="7">
                  <c:v>0.15</c:v>
                </c:pt>
                <c:pt idx="8">
                  <c:v>0.13</c:v>
                </c:pt>
                <c:pt idx="9">
                  <c:v>0.1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0.09</c:v>
                </c:pt>
                <c:pt idx="14">
                  <c:v>0.09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94-4C75-B4E0-7ECF06D3E5ED}"/>
            </c:ext>
          </c:extLst>
        </c:ser>
        <c:ser>
          <c:idx val="3"/>
          <c:order val="3"/>
          <c:tx>
            <c:strRef>
              <c:f>Sheet2!$B$43</c:f>
              <c:strCache>
                <c:ptCount val="1"/>
                <c:pt idx="0">
                  <c:v>Corner Success Rate</c:v>
                </c:pt>
              </c:strCache>
            </c:strRef>
          </c:tx>
          <c:spPr>
            <a:ln w="25400" cap="rnd">
              <a:solidFill>
                <a:srgbClr val="D25C6D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Sheet2!$C$43:$V$43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0.54545454545454541</c:v>
                </c:pt>
                <c:pt idx="9">
                  <c:v>0.66666666666666663</c:v>
                </c:pt>
                <c:pt idx="10">
                  <c:v>1</c:v>
                </c:pt>
                <c:pt idx="11">
                  <c:v>0.91666666666666663</c:v>
                </c:pt>
                <c:pt idx="12">
                  <c:v>0.8</c:v>
                </c:pt>
                <c:pt idx="13">
                  <c:v>1</c:v>
                </c:pt>
                <c:pt idx="14">
                  <c:v>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94-4C75-B4E0-7ECF06D3E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347375"/>
        <c:axId val="2015344975"/>
      </c:scatterChart>
      <c:valAx>
        <c:axId val="2015347375"/>
        <c:scaling>
          <c:orientation val="minMax"/>
          <c:max val="15"/>
          <c:min val="1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44975"/>
        <c:crosses val="autoZero"/>
        <c:crossBetween val="midCat"/>
      </c:valAx>
      <c:valAx>
        <c:axId val="20153449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15347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Benchmark</a:t>
            </a:r>
            <a:r>
              <a:rPr lang="en-GB" baseline="0"/>
              <a:t> Performance Iteration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Sheet2!$B$41</c:f>
              <c:strCache>
                <c:ptCount val="1"/>
                <c:pt idx="0">
                  <c:v>RMSE Line Error</c:v>
                </c:pt>
              </c:strCache>
            </c:strRef>
          </c:tx>
          <c:spPr>
            <a:ln w="25400" cap="rnd">
              <a:solidFill>
                <a:srgbClr val="1F4E79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Sheet2!$C$41:$V$41</c:f>
              <c:numCache>
                <c:formatCode>0%</c:formatCode>
                <c:ptCount val="20"/>
                <c:pt idx="0">
                  <c:v>0.54249999999999998</c:v>
                </c:pt>
                <c:pt idx="1">
                  <c:v>0.49249999999999999</c:v>
                </c:pt>
                <c:pt idx="2">
                  <c:v>0.42</c:v>
                </c:pt>
                <c:pt idx="3">
                  <c:v>0.42249999999999999</c:v>
                </c:pt>
                <c:pt idx="4">
                  <c:v>0.4325</c:v>
                </c:pt>
                <c:pt idx="5">
                  <c:v>0.42</c:v>
                </c:pt>
                <c:pt idx="6">
                  <c:v>0.52249999999999996</c:v>
                </c:pt>
                <c:pt idx="7">
                  <c:v>0.41499999999999998</c:v>
                </c:pt>
                <c:pt idx="8">
                  <c:v>0.40749999999999997</c:v>
                </c:pt>
                <c:pt idx="9">
                  <c:v>0.45750000000000002</c:v>
                </c:pt>
                <c:pt idx="10">
                  <c:v>0.50249999999999995</c:v>
                </c:pt>
                <c:pt idx="11">
                  <c:v>0.42</c:v>
                </c:pt>
                <c:pt idx="12">
                  <c:v>0.43</c:v>
                </c:pt>
                <c:pt idx="13">
                  <c:v>0.45750000000000002</c:v>
                </c:pt>
                <c:pt idx="14">
                  <c:v>0.43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4-4EF1-BFCC-D0F4B0D6867C}"/>
            </c:ext>
          </c:extLst>
        </c:ser>
        <c:ser>
          <c:idx val="0"/>
          <c:order val="1"/>
          <c:tx>
            <c:strRef>
              <c:f>Sheet2!$B$40</c:f>
              <c:strCache>
                <c:ptCount val="1"/>
                <c:pt idx="0">
                  <c:v>Average Speed</c:v>
                </c:pt>
              </c:strCache>
            </c:strRef>
          </c:tx>
          <c:spPr>
            <a:ln w="50800" cap="rnd">
              <a:solidFill>
                <a:srgbClr val="2F7F79"/>
              </a:solidFill>
              <a:round/>
            </a:ln>
            <a:effectLst/>
          </c:spPr>
          <c:marker>
            <c:symbol val="none"/>
          </c:marker>
          <c:yVal>
            <c:numRef>
              <c:f>Sheet2!$C$40:$V$40</c:f>
              <c:numCache>
                <c:formatCode>0%</c:formatCode>
                <c:ptCount val="20"/>
                <c:pt idx="0">
                  <c:v>0</c:v>
                </c:pt>
                <c:pt idx="1">
                  <c:v>7.086614173228345E-2</c:v>
                </c:pt>
                <c:pt idx="2">
                  <c:v>0.22047244094488189</c:v>
                </c:pt>
                <c:pt idx="3">
                  <c:v>0.44881889763779531</c:v>
                </c:pt>
                <c:pt idx="4">
                  <c:v>0.55118110236220463</c:v>
                </c:pt>
                <c:pt idx="5">
                  <c:v>0.64566929133858275</c:v>
                </c:pt>
                <c:pt idx="6">
                  <c:v>0.65354330708661412</c:v>
                </c:pt>
                <c:pt idx="7">
                  <c:v>0.64566929133858275</c:v>
                </c:pt>
                <c:pt idx="8">
                  <c:v>1</c:v>
                </c:pt>
                <c:pt idx="9">
                  <c:v>0.83464566929133843</c:v>
                </c:pt>
                <c:pt idx="10">
                  <c:v>0.69291338582677164</c:v>
                </c:pt>
                <c:pt idx="11">
                  <c:v>0.74803149606299202</c:v>
                </c:pt>
                <c:pt idx="12">
                  <c:v>0.71653543307086609</c:v>
                </c:pt>
                <c:pt idx="13">
                  <c:v>0.73228346456692917</c:v>
                </c:pt>
                <c:pt idx="14">
                  <c:v>0.76377952755905509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4-4EF1-BFCC-D0F4B0D6867C}"/>
            </c:ext>
          </c:extLst>
        </c:ser>
        <c:ser>
          <c:idx val="2"/>
          <c:order val="2"/>
          <c:tx>
            <c:strRef>
              <c:f>Sheet2!$B$42</c:f>
              <c:strCache>
                <c:ptCount val="1"/>
                <c:pt idx="0">
                  <c:v>No Line Instances</c:v>
                </c:pt>
              </c:strCache>
            </c:strRef>
          </c:tx>
          <c:spPr>
            <a:ln w="25400" cap="rnd">
              <a:solidFill>
                <a:srgbClr val="D87E2A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Sheet2!$C$42:$V$42</c:f>
              <c:numCache>
                <c:formatCode>0%</c:formatCode>
                <c:ptCount val="20"/>
                <c:pt idx="0">
                  <c:v>0.22</c:v>
                </c:pt>
                <c:pt idx="1">
                  <c:v>0.2</c:v>
                </c:pt>
                <c:pt idx="2">
                  <c:v>0.19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0.08</c:v>
                </c:pt>
                <c:pt idx="6">
                  <c:v>0.06</c:v>
                </c:pt>
                <c:pt idx="7">
                  <c:v>0.15</c:v>
                </c:pt>
                <c:pt idx="8">
                  <c:v>0.13</c:v>
                </c:pt>
                <c:pt idx="9">
                  <c:v>0.1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0.09</c:v>
                </c:pt>
                <c:pt idx="14">
                  <c:v>0.09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14-4EF1-BFCC-D0F4B0D6867C}"/>
            </c:ext>
          </c:extLst>
        </c:ser>
        <c:ser>
          <c:idx val="3"/>
          <c:order val="3"/>
          <c:tx>
            <c:strRef>
              <c:f>Sheet2!$B$43</c:f>
              <c:strCache>
                <c:ptCount val="1"/>
                <c:pt idx="0">
                  <c:v>Corner Success Rate</c:v>
                </c:pt>
              </c:strCache>
            </c:strRef>
          </c:tx>
          <c:spPr>
            <a:ln w="25400" cap="rnd">
              <a:solidFill>
                <a:srgbClr val="D25C6D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Sheet2!$C$43:$V$43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0.54545454545454541</c:v>
                </c:pt>
                <c:pt idx="9">
                  <c:v>0.66666666666666663</c:v>
                </c:pt>
                <c:pt idx="10">
                  <c:v>1</c:v>
                </c:pt>
                <c:pt idx="11">
                  <c:v>0.91666666666666663</c:v>
                </c:pt>
                <c:pt idx="12">
                  <c:v>0.8</c:v>
                </c:pt>
                <c:pt idx="13">
                  <c:v>1</c:v>
                </c:pt>
                <c:pt idx="14">
                  <c:v>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14-4EF1-BFCC-D0F4B0D68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347375"/>
        <c:axId val="2015344975"/>
      </c:scatterChart>
      <c:valAx>
        <c:axId val="2015347375"/>
        <c:scaling>
          <c:orientation val="minMax"/>
          <c:max val="15"/>
          <c:min val="1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44975"/>
        <c:crosses val="autoZero"/>
        <c:crossBetween val="midCat"/>
      </c:valAx>
      <c:valAx>
        <c:axId val="20153449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15347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Benchmark</a:t>
            </a:r>
            <a:r>
              <a:rPr lang="en-GB" baseline="0"/>
              <a:t> Performance Iteration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Sheet2!$B$41</c:f>
              <c:strCache>
                <c:ptCount val="1"/>
                <c:pt idx="0">
                  <c:v>RMSE Line Error</c:v>
                </c:pt>
              </c:strCache>
            </c:strRef>
          </c:tx>
          <c:spPr>
            <a:ln w="25400" cap="rnd">
              <a:solidFill>
                <a:srgbClr val="1F4E79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Sheet2!$C$41:$V$41</c:f>
              <c:numCache>
                <c:formatCode>0%</c:formatCode>
                <c:ptCount val="20"/>
                <c:pt idx="0">
                  <c:v>0.54249999999999998</c:v>
                </c:pt>
                <c:pt idx="1">
                  <c:v>0.49249999999999999</c:v>
                </c:pt>
                <c:pt idx="2">
                  <c:v>0.42</c:v>
                </c:pt>
                <c:pt idx="3">
                  <c:v>0.42249999999999999</c:v>
                </c:pt>
                <c:pt idx="4">
                  <c:v>0.4325</c:v>
                </c:pt>
                <c:pt idx="5">
                  <c:v>0.42</c:v>
                </c:pt>
                <c:pt idx="6">
                  <c:v>0.52249999999999996</c:v>
                </c:pt>
                <c:pt idx="7">
                  <c:v>0.41499999999999998</c:v>
                </c:pt>
                <c:pt idx="8">
                  <c:v>0.40749999999999997</c:v>
                </c:pt>
                <c:pt idx="9">
                  <c:v>0.45750000000000002</c:v>
                </c:pt>
                <c:pt idx="10">
                  <c:v>0.50249999999999995</c:v>
                </c:pt>
                <c:pt idx="11">
                  <c:v>0.42</c:v>
                </c:pt>
                <c:pt idx="12">
                  <c:v>0.43</c:v>
                </c:pt>
                <c:pt idx="13">
                  <c:v>0.45750000000000002</c:v>
                </c:pt>
                <c:pt idx="14">
                  <c:v>0.43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A-4845-8644-3A20297BEBCC}"/>
            </c:ext>
          </c:extLst>
        </c:ser>
        <c:ser>
          <c:idx val="0"/>
          <c:order val="1"/>
          <c:tx>
            <c:strRef>
              <c:f>Sheet2!$B$40</c:f>
              <c:strCache>
                <c:ptCount val="1"/>
                <c:pt idx="0">
                  <c:v>Average Speed</c:v>
                </c:pt>
              </c:strCache>
            </c:strRef>
          </c:tx>
          <c:spPr>
            <a:ln w="25400" cap="rnd">
              <a:solidFill>
                <a:srgbClr val="2F7F79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Sheet2!$C$40:$V$40</c:f>
              <c:numCache>
                <c:formatCode>0%</c:formatCode>
                <c:ptCount val="20"/>
                <c:pt idx="0">
                  <c:v>0</c:v>
                </c:pt>
                <c:pt idx="1">
                  <c:v>7.086614173228345E-2</c:v>
                </c:pt>
                <c:pt idx="2">
                  <c:v>0.22047244094488189</c:v>
                </c:pt>
                <c:pt idx="3">
                  <c:v>0.44881889763779531</c:v>
                </c:pt>
                <c:pt idx="4">
                  <c:v>0.55118110236220463</c:v>
                </c:pt>
                <c:pt idx="5">
                  <c:v>0.64566929133858275</c:v>
                </c:pt>
                <c:pt idx="6">
                  <c:v>0.65354330708661412</c:v>
                </c:pt>
                <c:pt idx="7">
                  <c:v>0.64566929133858275</c:v>
                </c:pt>
                <c:pt idx="8">
                  <c:v>1</c:v>
                </c:pt>
                <c:pt idx="9">
                  <c:v>0.83464566929133843</c:v>
                </c:pt>
                <c:pt idx="10">
                  <c:v>0.69291338582677164</c:v>
                </c:pt>
                <c:pt idx="11">
                  <c:v>0.74803149606299202</c:v>
                </c:pt>
                <c:pt idx="12">
                  <c:v>0.71653543307086609</c:v>
                </c:pt>
                <c:pt idx="13">
                  <c:v>0.73228346456692917</c:v>
                </c:pt>
                <c:pt idx="14">
                  <c:v>0.76377952755905509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5A-4845-8644-3A20297BEBCC}"/>
            </c:ext>
          </c:extLst>
        </c:ser>
        <c:ser>
          <c:idx val="2"/>
          <c:order val="2"/>
          <c:tx>
            <c:strRef>
              <c:f>Sheet2!$B$42</c:f>
              <c:strCache>
                <c:ptCount val="1"/>
                <c:pt idx="0">
                  <c:v>No Line Instances</c:v>
                </c:pt>
              </c:strCache>
            </c:strRef>
          </c:tx>
          <c:spPr>
            <a:ln w="50800" cap="rnd">
              <a:solidFill>
                <a:srgbClr val="D87E2A"/>
              </a:solidFill>
              <a:round/>
            </a:ln>
            <a:effectLst/>
          </c:spPr>
          <c:marker>
            <c:symbol val="none"/>
          </c:marker>
          <c:yVal>
            <c:numRef>
              <c:f>Sheet2!$C$42:$V$42</c:f>
              <c:numCache>
                <c:formatCode>0%</c:formatCode>
                <c:ptCount val="20"/>
                <c:pt idx="0">
                  <c:v>0.22</c:v>
                </c:pt>
                <c:pt idx="1">
                  <c:v>0.2</c:v>
                </c:pt>
                <c:pt idx="2">
                  <c:v>0.19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0.08</c:v>
                </c:pt>
                <c:pt idx="6">
                  <c:v>0.06</c:v>
                </c:pt>
                <c:pt idx="7">
                  <c:v>0.15</c:v>
                </c:pt>
                <c:pt idx="8">
                  <c:v>0.13</c:v>
                </c:pt>
                <c:pt idx="9">
                  <c:v>0.1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0.09</c:v>
                </c:pt>
                <c:pt idx="14">
                  <c:v>0.09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5A-4845-8644-3A20297BEBCC}"/>
            </c:ext>
          </c:extLst>
        </c:ser>
        <c:ser>
          <c:idx val="3"/>
          <c:order val="3"/>
          <c:tx>
            <c:strRef>
              <c:f>Sheet2!$B$43</c:f>
              <c:strCache>
                <c:ptCount val="1"/>
                <c:pt idx="0">
                  <c:v>Corner Success Rate</c:v>
                </c:pt>
              </c:strCache>
            </c:strRef>
          </c:tx>
          <c:spPr>
            <a:ln w="25400" cap="rnd">
              <a:solidFill>
                <a:srgbClr val="D25C6D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Sheet2!$C$43:$V$43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0.54545454545454541</c:v>
                </c:pt>
                <c:pt idx="9">
                  <c:v>0.66666666666666663</c:v>
                </c:pt>
                <c:pt idx="10">
                  <c:v>1</c:v>
                </c:pt>
                <c:pt idx="11">
                  <c:v>0.91666666666666663</c:v>
                </c:pt>
                <c:pt idx="12">
                  <c:v>0.8</c:v>
                </c:pt>
                <c:pt idx="13">
                  <c:v>1</c:v>
                </c:pt>
                <c:pt idx="14">
                  <c:v>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5A-4845-8644-3A20297BE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347375"/>
        <c:axId val="2015344975"/>
      </c:scatterChart>
      <c:valAx>
        <c:axId val="2015347375"/>
        <c:scaling>
          <c:orientation val="minMax"/>
          <c:max val="15"/>
          <c:min val="1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44975"/>
        <c:crosses val="autoZero"/>
        <c:crossBetween val="midCat"/>
      </c:valAx>
      <c:valAx>
        <c:axId val="20153449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15347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Benchmark</a:t>
            </a:r>
            <a:r>
              <a:rPr lang="en-GB" baseline="0"/>
              <a:t> Performance Iteration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Sheet2!$B$41</c:f>
              <c:strCache>
                <c:ptCount val="1"/>
                <c:pt idx="0">
                  <c:v>RMSE Line Error</c:v>
                </c:pt>
              </c:strCache>
            </c:strRef>
          </c:tx>
          <c:spPr>
            <a:ln w="25400" cap="rnd">
              <a:solidFill>
                <a:srgbClr val="1F4E79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Sheet2!$C$41:$V$41</c:f>
              <c:numCache>
                <c:formatCode>0%</c:formatCode>
                <c:ptCount val="20"/>
                <c:pt idx="0">
                  <c:v>0.54249999999999998</c:v>
                </c:pt>
                <c:pt idx="1">
                  <c:v>0.49249999999999999</c:v>
                </c:pt>
                <c:pt idx="2">
                  <c:v>0.42</c:v>
                </c:pt>
                <c:pt idx="3">
                  <c:v>0.42249999999999999</c:v>
                </c:pt>
                <c:pt idx="4">
                  <c:v>0.4325</c:v>
                </c:pt>
                <c:pt idx="5">
                  <c:v>0.42</c:v>
                </c:pt>
                <c:pt idx="6">
                  <c:v>0.52249999999999996</c:v>
                </c:pt>
                <c:pt idx="7">
                  <c:v>0.41499999999999998</c:v>
                </c:pt>
                <c:pt idx="8">
                  <c:v>0.40749999999999997</c:v>
                </c:pt>
                <c:pt idx="9">
                  <c:v>0.45750000000000002</c:v>
                </c:pt>
                <c:pt idx="10">
                  <c:v>0.50249999999999995</c:v>
                </c:pt>
                <c:pt idx="11">
                  <c:v>0.42</c:v>
                </c:pt>
                <c:pt idx="12">
                  <c:v>0.43</c:v>
                </c:pt>
                <c:pt idx="13">
                  <c:v>0.45750000000000002</c:v>
                </c:pt>
                <c:pt idx="14">
                  <c:v>0.43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99-441A-AECA-FCCD05052D80}"/>
            </c:ext>
          </c:extLst>
        </c:ser>
        <c:ser>
          <c:idx val="0"/>
          <c:order val="1"/>
          <c:tx>
            <c:strRef>
              <c:f>Sheet2!$B$40</c:f>
              <c:strCache>
                <c:ptCount val="1"/>
                <c:pt idx="0">
                  <c:v>Average Speed</c:v>
                </c:pt>
              </c:strCache>
            </c:strRef>
          </c:tx>
          <c:spPr>
            <a:ln w="25400" cap="rnd">
              <a:solidFill>
                <a:srgbClr val="2F7F79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Sheet2!$C$40:$V$40</c:f>
              <c:numCache>
                <c:formatCode>0%</c:formatCode>
                <c:ptCount val="20"/>
                <c:pt idx="0">
                  <c:v>0</c:v>
                </c:pt>
                <c:pt idx="1">
                  <c:v>7.086614173228345E-2</c:v>
                </c:pt>
                <c:pt idx="2">
                  <c:v>0.22047244094488189</c:v>
                </c:pt>
                <c:pt idx="3">
                  <c:v>0.44881889763779531</c:v>
                </c:pt>
                <c:pt idx="4">
                  <c:v>0.55118110236220463</c:v>
                </c:pt>
                <c:pt idx="5">
                  <c:v>0.64566929133858275</c:v>
                </c:pt>
                <c:pt idx="6">
                  <c:v>0.65354330708661412</c:v>
                </c:pt>
                <c:pt idx="7">
                  <c:v>0.64566929133858275</c:v>
                </c:pt>
                <c:pt idx="8">
                  <c:v>1</c:v>
                </c:pt>
                <c:pt idx="9">
                  <c:v>0.83464566929133843</c:v>
                </c:pt>
                <c:pt idx="10">
                  <c:v>0.69291338582677164</c:v>
                </c:pt>
                <c:pt idx="11">
                  <c:v>0.74803149606299202</c:v>
                </c:pt>
                <c:pt idx="12">
                  <c:v>0.71653543307086609</c:v>
                </c:pt>
                <c:pt idx="13">
                  <c:v>0.73228346456692917</c:v>
                </c:pt>
                <c:pt idx="14">
                  <c:v>0.76377952755905509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99-441A-AECA-FCCD05052D80}"/>
            </c:ext>
          </c:extLst>
        </c:ser>
        <c:ser>
          <c:idx val="2"/>
          <c:order val="2"/>
          <c:tx>
            <c:strRef>
              <c:f>Sheet2!$B$42</c:f>
              <c:strCache>
                <c:ptCount val="1"/>
                <c:pt idx="0">
                  <c:v>No Line Instances</c:v>
                </c:pt>
              </c:strCache>
            </c:strRef>
          </c:tx>
          <c:spPr>
            <a:ln w="25400" cap="rnd">
              <a:solidFill>
                <a:srgbClr val="D87E2A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yVal>
            <c:numRef>
              <c:f>Sheet2!$C$42:$V$42</c:f>
              <c:numCache>
                <c:formatCode>0%</c:formatCode>
                <c:ptCount val="20"/>
                <c:pt idx="0">
                  <c:v>0.22</c:v>
                </c:pt>
                <c:pt idx="1">
                  <c:v>0.2</c:v>
                </c:pt>
                <c:pt idx="2">
                  <c:v>0.19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0.08</c:v>
                </c:pt>
                <c:pt idx="6">
                  <c:v>0.06</c:v>
                </c:pt>
                <c:pt idx="7">
                  <c:v>0.15</c:v>
                </c:pt>
                <c:pt idx="8">
                  <c:v>0.13</c:v>
                </c:pt>
                <c:pt idx="9">
                  <c:v>0.1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0.09</c:v>
                </c:pt>
                <c:pt idx="14">
                  <c:v>0.09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99-441A-AECA-FCCD05052D80}"/>
            </c:ext>
          </c:extLst>
        </c:ser>
        <c:ser>
          <c:idx val="3"/>
          <c:order val="3"/>
          <c:tx>
            <c:strRef>
              <c:f>Sheet2!$B$43</c:f>
              <c:strCache>
                <c:ptCount val="1"/>
                <c:pt idx="0">
                  <c:v>Corner Success Rate</c:v>
                </c:pt>
              </c:strCache>
            </c:strRef>
          </c:tx>
          <c:spPr>
            <a:ln w="50800" cap="rnd">
              <a:solidFill>
                <a:srgbClr val="D25C6D"/>
              </a:solidFill>
              <a:round/>
            </a:ln>
            <a:effectLst/>
          </c:spPr>
          <c:marker>
            <c:symbol val="none"/>
          </c:marker>
          <c:yVal>
            <c:numRef>
              <c:f>Sheet2!$C$43:$V$43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0.54545454545454541</c:v>
                </c:pt>
                <c:pt idx="9">
                  <c:v>0.66666666666666663</c:v>
                </c:pt>
                <c:pt idx="10">
                  <c:v>1</c:v>
                </c:pt>
                <c:pt idx="11">
                  <c:v>0.91666666666666663</c:v>
                </c:pt>
                <c:pt idx="12">
                  <c:v>0.8</c:v>
                </c:pt>
                <c:pt idx="13">
                  <c:v>1</c:v>
                </c:pt>
                <c:pt idx="14">
                  <c:v>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99-441A-AECA-FCCD0505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347375"/>
        <c:axId val="2015344975"/>
      </c:scatterChart>
      <c:valAx>
        <c:axId val="2015347375"/>
        <c:scaling>
          <c:orientation val="minMax"/>
          <c:max val="15"/>
          <c:min val="1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44975"/>
        <c:crosses val="autoZero"/>
        <c:crossBetween val="midCat"/>
      </c:valAx>
      <c:valAx>
        <c:axId val="20153449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15347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49</xdr:row>
      <xdr:rowOff>183173</xdr:rowOff>
    </xdr:from>
    <xdr:to>
      <xdr:col>14</xdr:col>
      <xdr:colOff>280147</xdr:colOff>
      <xdr:row>64</xdr:row>
      <xdr:rowOff>68873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A358DC-A960-4CD1-83C0-5B0DA1494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70</xdr:row>
      <xdr:rowOff>0</xdr:rowOff>
    </xdr:from>
    <xdr:to>
      <xdr:col>14</xdr:col>
      <xdr:colOff>184897</xdr:colOff>
      <xdr:row>84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DB3E1D2-6BAC-421C-88FF-30B336205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85</xdr:row>
      <xdr:rowOff>0</xdr:rowOff>
    </xdr:from>
    <xdr:to>
      <xdr:col>14</xdr:col>
      <xdr:colOff>184897</xdr:colOff>
      <xdr:row>99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C8BD608-7810-4087-81E9-8B2F59436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100</xdr:row>
      <xdr:rowOff>0</xdr:rowOff>
    </xdr:from>
    <xdr:to>
      <xdr:col>14</xdr:col>
      <xdr:colOff>184897</xdr:colOff>
      <xdr:row>114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58BD5EF-38DE-4D4F-9247-9BC8620C9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115</xdr:row>
      <xdr:rowOff>0</xdr:rowOff>
    </xdr:from>
    <xdr:to>
      <xdr:col>14</xdr:col>
      <xdr:colOff>184897</xdr:colOff>
      <xdr:row>129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25933CC-43B7-4330-A9D3-1BE8D8CD1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DE95-D80B-4427-BF0E-207F5D7E5873}">
  <dimension ref="A1:G128"/>
  <sheetViews>
    <sheetView topLeftCell="A108" workbookViewId="0">
      <selection activeCell="F120" sqref="F120"/>
    </sheetView>
  </sheetViews>
  <sheetFormatPr defaultColWidth="12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0.1</v>
      </c>
      <c r="C2">
        <v>0.4</v>
      </c>
      <c r="D2">
        <v>0</v>
      </c>
      <c r="E2">
        <v>0.5</v>
      </c>
    </row>
    <row r="3" spans="1:5" x14ac:dyDescent="0.25">
      <c r="A3" t="s">
        <v>6</v>
      </c>
      <c r="B3">
        <v>0.1</v>
      </c>
      <c r="C3">
        <v>0.4</v>
      </c>
      <c r="D3">
        <v>0</v>
      </c>
      <c r="E3">
        <v>0.5</v>
      </c>
    </row>
    <row r="4" spans="1:5" x14ac:dyDescent="0.25">
      <c r="A4" t="s">
        <v>7</v>
      </c>
      <c r="B4">
        <v>0.1</v>
      </c>
      <c r="C4">
        <v>0.4</v>
      </c>
      <c r="D4">
        <v>-200</v>
      </c>
      <c r="E4">
        <v>3</v>
      </c>
    </row>
    <row r="5" spans="1:5" x14ac:dyDescent="0.25">
      <c r="A5" t="s">
        <v>8</v>
      </c>
      <c r="B5">
        <v>0.1</v>
      </c>
      <c r="C5">
        <v>0.4</v>
      </c>
      <c r="D5">
        <v>-100</v>
      </c>
      <c r="E5">
        <v>0.5</v>
      </c>
    </row>
    <row r="6" spans="1:5" x14ac:dyDescent="0.25">
      <c r="A6" t="s">
        <v>9</v>
      </c>
      <c r="B6">
        <v>0.1</v>
      </c>
      <c r="C6">
        <v>0.4</v>
      </c>
      <c r="D6">
        <v>0</v>
      </c>
      <c r="E6">
        <v>0.5</v>
      </c>
    </row>
    <row r="8" spans="1:5" x14ac:dyDescent="0.25">
      <c r="A8" t="s">
        <v>10</v>
      </c>
      <c r="B8" t="s">
        <v>11</v>
      </c>
    </row>
    <row r="10" spans="1: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</row>
    <row r="11" spans="1:5" x14ac:dyDescent="0.25">
      <c r="A11" t="s">
        <v>5</v>
      </c>
      <c r="B11">
        <v>0.1</v>
      </c>
      <c r="C11">
        <v>0.4</v>
      </c>
      <c r="D11">
        <v>0</v>
      </c>
      <c r="E11">
        <v>0.5</v>
      </c>
    </row>
    <row r="12" spans="1:5" x14ac:dyDescent="0.25">
      <c r="A12" t="s">
        <v>6</v>
      </c>
      <c r="B12">
        <v>0.1</v>
      </c>
      <c r="C12">
        <v>0.4</v>
      </c>
      <c r="D12">
        <v>0</v>
      </c>
      <c r="E12">
        <v>0.5</v>
      </c>
    </row>
    <row r="13" spans="1:5" x14ac:dyDescent="0.25">
      <c r="A13" t="s">
        <v>7</v>
      </c>
      <c r="B13" s="1">
        <v>0.5</v>
      </c>
      <c r="C13">
        <v>0.4</v>
      </c>
      <c r="D13">
        <v>-200</v>
      </c>
      <c r="E13" s="1">
        <v>0.5</v>
      </c>
    </row>
    <row r="14" spans="1:5" x14ac:dyDescent="0.25">
      <c r="A14" t="s">
        <v>8</v>
      </c>
      <c r="B14">
        <v>0.1</v>
      </c>
      <c r="C14">
        <v>0.4</v>
      </c>
      <c r="D14">
        <v>-100</v>
      </c>
      <c r="E14">
        <v>0.5</v>
      </c>
    </row>
    <row r="15" spans="1:5" x14ac:dyDescent="0.25">
      <c r="A15" t="s">
        <v>9</v>
      </c>
      <c r="B15">
        <v>0.1</v>
      </c>
      <c r="C15">
        <v>0.4</v>
      </c>
      <c r="D15">
        <v>0</v>
      </c>
      <c r="E15">
        <v>0.5</v>
      </c>
    </row>
    <row r="17" spans="1:5" x14ac:dyDescent="0.25">
      <c r="A17" t="s">
        <v>10</v>
      </c>
      <c r="B17" t="s">
        <v>12</v>
      </c>
    </row>
    <row r="19" spans="1: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5" x14ac:dyDescent="0.25">
      <c r="A20" t="s">
        <v>5</v>
      </c>
      <c r="B20">
        <v>0.1</v>
      </c>
      <c r="C20">
        <v>0.4</v>
      </c>
      <c r="D20">
        <v>0</v>
      </c>
      <c r="E20">
        <v>0.5</v>
      </c>
    </row>
    <row r="21" spans="1:5" x14ac:dyDescent="0.25">
      <c r="A21" t="s">
        <v>6</v>
      </c>
      <c r="B21">
        <v>0.1</v>
      </c>
      <c r="C21">
        <v>0.4</v>
      </c>
      <c r="D21">
        <v>0</v>
      </c>
      <c r="E21">
        <v>0.5</v>
      </c>
    </row>
    <row r="22" spans="1:5" x14ac:dyDescent="0.25">
      <c r="A22" t="s">
        <v>7</v>
      </c>
      <c r="B22" s="1">
        <v>2</v>
      </c>
      <c r="C22">
        <v>0.4</v>
      </c>
      <c r="D22">
        <v>-200</v>
      </c>
      <c r="E22" s="1">
        <v>0.1</v>
      </c>
    </row>
    <row r="23" spans="1:5" x14ac:dyDescent="0.25">
      <c r="A23" t="s">
        <v>8</v>
      </c>
      <c r="B23">
        <v>0.1</v>
      </c>
      <c r="C23">
        <v>0.4</v>
      </c>
      <c r="D23">
        <v>-100</v>
      </c>
      <c r="E23">
        <v>0.5</v>
      </c>
    </row>
    <row r="24" spans="1:5" x14ac:dyDescent="0.25">
      <c r="A24" t="s">
        <v>9</v>
      </c>
      <c r="B24">
        <v>0.1</v>
      </c>
      <c r="C24">
        <v>0.4</v>
      </c>
      <c r="D24">
        <v>0</v>
      </c>
      <c r="E24">
        <v>0.5</v>
      </c>
    </row>
    <row r="26" spans="1:5" x14ac:dyDescent="0.25">
      <c r="A26" t="s">
        <v>10</v>
      </c>
      <c r="B26" t="s">
        <v>13</v>
      </c>
    </row>
    <row r="28" spans="1:5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</row>
    <row r="29" spans="1:5" x14ac:dyDescent="0.25">
      <c r="A29" t="s">
        <v>5</v>
      </c>
      <c r="B29">
        <v>0.1</v>
      </c>
      <c r="C29">
        <v>0.4</v>
      </c>
      <c r="D29">
        <v>0</v>
      </c>
      <c r="E29">
        <v>0.5</v>
      </c>
    </row>
    <row r="30" spans="1:5" x14ac:dyDescent="0.25">
      <c r="A30" t="s">
        <v>6</v>
      </c>
      <c r="B30">
        <v>0.1</v>
      </c>
      <c r="C30">
        <v>0.4</v>
      </c>
      <c r="D30">
        <v>0</v>
      </c>
      <c r="E30">
        <v>0.5</v>
      </c>
    </row>
    <row r="31" spans="1:5" x14ac:dyDescent="0.25">
      <c r="A31" t="s">
        <v>7</v>
      </c>
      <c r="B31" s="1">
        <v>4</v>
      </c>
      <c r="C31" s="1">
        <v>0.8</v>
      </c>
      <c r="D31">
        <v>-200</v>
      </c>
      <c r="E31" s="1">
        <v>0.05</v>
      </c>
    </row>
    <row r="32" spans="1:5" x14ac:dyDescent="0.25">
      <c r="A32" t="s">
        <v>8</v>
      </c>
      <c r="B32">
        <v>0.1</v>
      </c>
      <c r="C32">
        <v>0.4</v>
      </c>
      <c r="D32">
        <v>-100</v>
      </c>
      <c r="E32">
        <v>0.5</v>
      </c>
    </row>
    <row r="33" spans="1:5" x14ac:dyDescent="0.25">
      <c r="A33" t="s">
        <v>9</v>
      </c>
      <c r="B33">
        <v>0.1</v>
      </c>
      <c r="C33">
        <v>0.4</v>
      </c>
      <c r="D33">
        <v>0</v>
      </c>
      <c r="E33">
        <v>0.5</v>
      </c>
    </row>
    <row r="35" spans="1:5" x14ac:dyDescent="0.25">
      <c r="A35" t="s">
        <v>10</v>
      </c>
      <c r="B35" t="s">
        <v>14</v>
      </c>
    </row>
    <row r="37" spans="1:5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</row>
    <row r="38" spans="1:5" x14ac:dyDescent="0.25">
      <c r="A38" t="s">
        <v>5</v>
      </c>
      <c r="B38">
        <v>0.1</v>
      </c>
      <c r="C38">
        <v>0.4</v>
      </c>
      <c r="D38">
        <v>0</v>
      </c>
      <c r="E38">
        <v>0.5</v>
      </c>
    </row>
    <row r="39" spans="1:5" x14ac:dyDescent="0.25">
      <c r="A39" t="s">
        <v>6</v>
      </c>
      <c r="B39">
        <v>0.1</v>
      </c>
      <c r="C39">
        <v>0.4</v>
      </c>
      <c r="D39">
        <v>0</v>
      </c>
      <c r="E39">
        <v>0.5</v>
      </c>
    </row>
    <row r="40" spans="1:5" x14ac:dyDescent="0.25">
      <c r="A40" t="s">
        <v>7</v>
      </c>
      <c r="B40" s="1">
        <v>2.5</v>
      </c>
      <c r="C40" s="1">
        <v>0.6</v>
      </c>
      <c r="D40">
        <v>-200</v>
      </c>
      <c r="E40">
        <v>0.05</v>
      </c>
    </row>
    <row r="41" spans="1:5" x14ac:dyDescent="0.25">
      <c r="A41" t="s">
        <v>8</v>
      </c>
      <c r="B41">
        <v>0.1</v>
      </c>
      <c r="C41">
        <v>0.4</v>
      </c>
      <c r="D41">
        <v>-100</v>
      </c>
      <c r="E41">
        <v>0.5</v>
      </c>
    </row>
    <row r="42" spans="1:5" x14ac:dyDescent="0.25">
      <c r="A42" t="s">
        <v>9</v>
      </c>
      <c r="B42">
        <v>0.1</v>
      </c>
      <c r="C42">
        <v>0.4</v>
      </c>
      <c r="D42">
        <v>0</v>
      </c>
      <c r="E42">
        <v>0.5</v>
      </c>
    </row>
    <row r="44" spans="1:5" x14ac:dyDescent="0.25">
      <c r="A44" t="s">
        <v>10</v>
      </c>
      <c r="B44" t="s">
        <v>15</v>
      </c>
    </row>
    <row r="46" spans="1:5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</row>
    <row r="47" spans="1:5" x14ac:dyDescent="0.25">
      <c r="A47" t="s">
        <v>5</v>
      </c>
      <c r="B47">
        <v>0.1</v>
      </c>
      <c r="C47">
        <v>0.4</v>
      </c>
      <c r="D47">
        <v>0</v>
      </c>
      <c r="E47">
        <v>0.5</v>
      </c>
    </row>
    <row r="48" spans="1:5" x14ac:dyDescent="0.25">
      <c r="A48" t="s">
        <v>6</v>
      </c>
      <c r="B48">
        <v>0.1</v>
      </c>
      <c r="C48">
        <v>0.4</v>
      </c>
      <c r="D48">
        <v>0</v>
      </c>
      <c r="E48">
        <v>0.5</v>
      </c>
    </row>
    <row r="49" spans="1:7" x14ac:dyDescent="0.25">
      <c r="A49" t="s">
        <v>7</v>
      </c>
      <c r="B49" s="1">
        <v>3</v>
      </c>
      <c r="C49" s="1">
        <v>0.4</v>
      </c>
      <c r="D49">
        <v>-200</v>
      </c>
      <c r="E49" s="1">
        <v>0.02</v>
      </c>
    </row>
    <row r="50" spans="1:7" x14ac:dyDescent="0.25">
      <c r="A50" t="s">
        <v>8</v>
      </c>
      <c r="B50">
        <v>0.1</v>
      </c>
      <c r="C50">
        <v>0.4</v>
      </c>
      <c r="D50">
        <v>-100</v>
      </c>
      <c r="E50">
        <v>0.5</v>
      </c>
    </row>
    <row r="51" spans="1:7" x14ac:dyDescent="0.25">
      <c r="A51" t="s">
        <v>9</v>
      </c>
      <c r="B51">
        <v>0.1</v>
      </c>
      <c r="C51">
        <v>0.4</v>
      </c>
      <c r="D51">
        <v>0</v>
      </c>
      <c r="E51">
        <v>0.5</v>
      </c>
    </row>
    <row r="53" spans="1:7" x14ac:dyDescent="0.25">
      <c r="A53" t="s">
        <v>10</v>
      </c>
      <c r="B53" t="s">
        <v>16</v>
      </c>
    </row>
    <row r="55" spans="1:7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</row>
    <row r="56" spans="1:7" x14ac:dyDescent="0.25">
      <c r="A56" t="s">
        <v>5</v>
      </c>
      <c r="B56" s="1">
        <v>0.3</v>
      </c>
      <c r="C56">
        <v>0.4</v>
      </c>
      <c r="D56">
        <v>0</v>
      </c>
      <c r="E56">
        <v>0.5</v>
      </c>
    </row>
    <row r="57" spans="1:7" x14ac:dyDescent="0.25">
      <c r="A57" t="s">
        <v>6</v>
      </c>
      <c r="B57" s="1">
        <v>0.3</v>
      </c>
      <c r="C57">
        <v>0.4</v>
      </c>
      <c r="D57">
        <v>0</v>
      </c>
      <c r="E57">
        <v>0.5</v>
      </c>
    </row>
    <row r="58" spans="1:7" x14ac:dyDescent="0.25">
      <c r="A58" t="s">
        <v>7</v>
      </c>
      <c r="B58" s="1">
        <v>3.5</v>
      </c>
      <c r="C58">
        <v>0.4</v>
      </c>
      <c r="D58">
        <v>-200</v>
      </c>
      <c r="E58">
        <v>0.02</v>
      </c>
    </row>
    <row r="59" spans="1:7" x14ac:dyDescent="0.25">
      <c r="A59" t="s">
        <v>8</v>
      </c>
      <c r="B59" s="1">
        <v>0.3</v>
      </c>
      <c r="C59">
        <v>0.4</v>
      </c>
      <c r="D59">
        <v>-100</v>
      </c>
      <c r="E59">
        <v>0.5</v>
      </c>
    </row>
    <row r="60" spans="1:7" x14ac:dyDescent="0.25">
      <c r="A60" t="s">
        <v>9</v>
      </c>
      <c r="B60" s="1">
        <v>0.3</v>
      </c>
      <c r="C60">
        <v>0.4</v>
      </c>
      <c r="D60">
        <v>0</v>
      </c>
      <c r="E60">
        <v>0.5</v>
      </c>
    </row>
    <row r="62" spans="1:7" x14ac:dyDescent="0.25">
      <c r="A62" t="s">
        <v>10</v>
      </c>
      <c r="B62" s="2" t="s">
        <v>17</v>
      </c>
      <c r="C62" s="2"/>
      <c r="D62" s="2"/>
      <c r="E62" s="2"/>
      <c r="F62" s="2"/>
      <c r="G62" s="2"/>
    </row>
    <row r="64" spans="1:7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</row>
    <row r="65" spans="1:5" x14ac:dyDescent="0.25">
      <c r="A65" t="s">
        <v>5</v>
      </c>
      <c r="B65">
        <v>0.3</v>
      </c>
      <c r="C65">
        <v>0.4</v>
      </c>
      <c r="D65">
        <v>0</v>
      </c>
      <c r="E65" s="1">
        <v>0.8</v>
      </c>
    </row>
    <row r="66" spans="1:5" x14ac:dyDescent="0.25">
      <c r="A66" t="s">
        <v>6</v>
      </c>
      <c r="B66">
        <v>0.3</v>
      </c>
      <c r="C66">
        <v>0.4</v>
      </c>
      <c r="D66">
        <v>0</v>
      </c>
      <c r="E66" s="1">
        <v>0.8</v>
      </c>
    </row>
    <row r="67" spans="1:5" x14ac:dyDescent="0.25">
      <c r="A67" t="s">
        <v>7</v>
      </c>
      <c r="B67">
        <v>3.5</v>
      </c>
      <c r="C67">
        <v>0.4</v>
      </c>
      <c r="D67">
        <v>-200</v>
      </c>
      <c r="E67" s="1">
        <v>0.01</v>
      </c>
    </row>
    <row r="68" spans="1:5" x14ac:dyDescent="0.25">
      <c r="A68" t="s">
        <v>8</v>
      </c>
      <c r="B68">
        <v>0.3</v>
      </c>
      <c r="C68">
        <v>0.4</v>
      </c>
      <c r="D68">
        <v>-100</v>
      </c>
      <c r="E68" s="1">
        <v>0.8</v>
      </c>
    </row>
    <row r="69" spans="1:5" x14ac:dyDescent="0.25">
      <c r="A69" t="s">
        <v>9</v>
      </c>
      <c r="B69">
        <v>0.3</v>
      </c>
      <c r="C69">
        <v>0.4</v>
      </c>
      <c r="D69">
        <v>0</v>
      </c>
      <c r="E69" s="1">
        <v>0.8</v>
      </c>
    </row>
    <row r="71" spans="1:5" x14ac:dyDescent="0.25">
      <c r="A71" t="s">
        <v>10</v>
      </c>
      <c r="B71" t="s">
        <v>18</v>
      </c>
    </row>
    <row r="73" spans="1:5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</row>
    <row r="74" spans="1:5" x14ac:dyDescent="0.25">
      <c r="A74" t="s">
        <v>5</v>
      </c>
      <c r="B74">
        <v>0.3</v>
      </c>
      <c r="C74">
        <v>0.4</v>
      </c>
      <c r="D74">
        <v>0</v>
      </c>
      <c r="E74">
        <v>0.8</v>
      </c>
    </row>
    <row r="75" spans="1:5" x14ac:dyDescent="0.25">
      <c r="A75" t="s">
        <v>6</v>
      </c>
      <c r="B75">
        <v>0.3</v>
      </c>
      <c r="C75">
        <v>0.4</v>
      </c>
      <c r="D75">
        <v>0</v>
      </c>
      <c r="E75">
        <v>0.8</v>
      </c>
    </row>
    <row r="76" spans="1:5" x14ac:dyDescent="0.25">
      <c r="A76" t="s">
        <v>7</v>
      </c>
      <c r="B76" s="1">
        <v>2.5</v>
      </c>
      <c r="C76">
        <v>0.4</v>
      </c>
      <c r="D76">
        <v>-200</v>
      </c>
      <c r="E76" s="1">
        <v>-0.02</v>
      </c>
    </row>
    <row r="77" spans="1:5" x14ac:dyDescent="0.25">
      <c r="A77" t="s">
        <v>8</v>
      </c>
      <c r="B77">
        <v>0.3</v>
      </c>
      <c r="C77">
        <v>0.4</v>
      </c>
      <c r="D77">
        <v>-100</v>
      </c>
      <c r="E77">
        <v>0.8</v>
      </c>
    </row>
    <row r="78" spans="1:5" x14ac:dyDescent="0.25">
      <c r="A78" t="s">
        <v>9</v>
      </c>
      <c r="B78">
        <v>0.3</v>
      </c>
      <c r="C78">
        <v>0.4</v>
      </c>
      <c r="D78">
        <v>0</v>
      </c>
      <c r="E78">
        <v>0.8</v>
      </c>
    </row>
    <row r="80" spans="1:5" x14ac:dyDescent="0.25">
      <c r="A80" t="s">
        <v>10</v>
      </c>
      <c r="B80" t="s">
        <v>19</v>
      </c>
    </row>
    <row r="82" spans="1:6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</row>
    <row r="83" spans="1:6" x14ac:dyDescent="0.25">
      <c r="A83" t="s">
        <v>5</v>
      </c>
      <c r="B83">
        <v>0.3</v>
      </c>
      <c r="C83">
        <v>0.4</v>
      </c>
      <c r="D83">
        <v>0</v>
      </c>
      <c r="E83">
        <v>0.8</v>
      </c>
    </row>
    <row r="84" spans="1:6" x14ac:dyDescent="0.25">
      <c r="A84" t="s">
        <v>6</v>
      </c>
      <c r="B84">
        <v>0.3</v>
      </c>
      <c r="C84">
        <v>0.4</v>
      </c>
      <c r="D84">
        <v>0</v>
      </c>
      <c r="E84">
        <v>0.8</v>
      </c>
    </row>
    <row r="85" spans="1:6" x14ac:dyDescent="0.25">
      <c r="A85" t="s">
        <v>7</v>
      </c>
      <c r="B85">
        <v>2.5</v>
      </c>
      <c r="C85" s="1">
        <v>0.6</v>
      </c>
      <c r="D85">
        <v>-200</v>
      </c>
      <c r="E85" s="1">
        <v>-0.05</v>
      </c>
    </row>
    <row r="86" spans="1:6" x14ac:dyDescent="0.25">
      <c r="A86" t="s">
        <v>8</v>
      </c>
      <c r="B86">
        <v>0.3</v>
      </c>
      <c r="C86">
        <v>0.4</v>
      </c>
      <c r="D86">
        <v>-100</v>
      </c>
      <c r="E86">
        <v>0.8</v>
      </c>
    </row>
    <row r="87" spans="1:6" x14ac:dyDescent="0.25">
      <c r="A87" t="s">
        <v>9</v>
      </c>
      <c r="B87">
        <v>0.3</v>
      </c>
      <c r="C87">
        <v>0.4</v>
      </c>
      <c r="D87">
        <v>0</v>
      </c>
      <c r="E87">
        <v>0.8</v>
      </c>
    </row>
    <row r="89" spans="1:6" x14ac:dyDescent="0.25">
      <c r="A89" t="s">
        <v>10</v>
      </c>
      <c r="B89" t="s">
        <v>20</v>
      </c>
    </row>
    <row r="91" spans="1:6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21</v>
      </c>
    </row>
    <row r="92" spans="1:6" x14ac:dyDescent="0.25">
      <c r="A92" t="s">
        <v>5</v>
      </c>
      <c r="B92">
        <v>0.3</v>
      </c>
      <c r="C92">
        <v>0.4</v>
      </c>
      <c r="D92">
        <v>0</v>
      </c>
      <c r="E92">
        <v>0.8</v>
      </c>
      <c r="F92">
        <v>0.6</v>
      </c>
    </row>
    <row r="93" spans="1:6" x14ac:dyDescent="0.25">
      <c r="A93" t="s">
        <v>6</v>
      </c>
      <c r="B93">
        <v>0.3</v>
      </c>
      <c r="C93">
        <v>0.4</v>
      </c>
      <c r="D93">
        <v>0</v>
      </c>
      <c r="E93">
        <v>0.8</v>
      </c>
    </row>
    <row r="94" spans="1:6" x14ac:dyDescent="0.25">
      <c r="A94" t="s">
        <v>7</v>
      </c>
      <c r="B94">
        <v>2.5</v>
      </c>
      <c r="C94">
        <v>0.6</v>
      </c>
      <c r="D94">
        <v>-200</v>
      </c>
      <c r="E94">
        <v>-0.05</v>
      </c>
    </row>
    <row r="95" spans="1:6" x14ac:dyDescent="0.25">
      <c r="A95" t="s">
        <v>8</v>
      </c>
      <c r="B95" s="1">
        <v>1</v>
      </c>
      <c r="C95">
        <v>0.4</v>
      </c>
      <c r="D95">
        <v>-100</v>
      </c>
      <c r="E95" s="1">
        <v>0</v>
      </c>
    </row>
    <row r="96" spans="1:6" x14ac:dyDescent="0.25">
      <c r="A96" t="s">
        <v>9</v>
      </c>
      <c r="B96">
        <v>0.3</v>
      </c>
      <c r="C96">
        <v>0.4</v>
      </c>
      <c r="D96">
        <v>0</v>
      </c>
      <c r="E96">
        <v>0.8</v>
      </c>
    </row>
    <row r="98" spans="1:6" x14ac:dyDescent="0.25">
      <c r="A98" t="s">
        <v>10</v>
      </c>
      <c r="B98" t="s">
        <v>20</v>
      </c>
    </row>
    <row r="100" spans="1:6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21</v>
      </c>
    </row>
    <row r="101" spans="1:6" x14ac:dyDescent="0.25">
      <c r="A101" t="s">
        <v>5</v>
      </c>
      <c r="B101">
        <v>0.3</v>
      </c>
      <c r="C101">
        <v>0.4</v>
      </c>
      <c r="D101">
        <v>0</v>
      </c>
      <c r="E101">
        <v>0.8</v>
      </c>
      <c r="F101" s="1">
        <v>0.4</v>
      </c>
    </row>
    <row r="102" spans="1:6" x14ac:dyDescent="0.25">
      <c r="A102" t="s">
        <v>6</v>
      </c>
      <c r="B102">
        <v>0.3</v>
      </c>
      <c r="C102">
        <v>0.4</v>
      </c>
      <c r="D102">
        <v>0</v>
      </c>
      <c r="E102">
        <v>0.8</v>
      </c>
    </row>
    <row r="103" spans="1:6" x14ac:dyDescent="0.25">
      <c r="A103" t="s">
        <v>7</v>
      </c>
      <c r="B103">
        <v>2.5</v>
      </c>
      <c r="C103">
        <v>0.6</v>
      </c>
      <c r="D103">
        <v>-200</v>
      </c>
      <c r="E103">
        <v>-0.05</v>
      </c>
    </row>
    <row r="104" spans="1:6" x14ac:dyDescent="0.25">
      <c r="A104" t="s">
        <v>8</v>
      </c>
      <c r="B104" s="1">
        <v>1</v>
      </c>
      <c r="C104">
        <v>0.4</v>
      </c>
      <c r="D104">
        <v>-100</v>
      </c>
      <c r="E104" s="1">
        <v>0</v>
      </c>
    </row>
    <row r="105" spans="1:6" x14ac:dyDescent="0.25">
      <c r="A105" t="s">
        <v>9</v>
      </c>
      <c r="B105">
        <v>0.3</v>
      </c>
      <c r="C105">
        <v>0.4</v>
      </c>
      <c r="D105">
        <v>0</v>
      </c>
      <c r="E105">
        <v>0.8</v>
      </c>
    </row>
    <row r="106" spans="1:6" x14ac:dyDescent="0.25">
      <c r="A106" t="s">
        <v>22</v>
      </c>
      <c r="B106" s="1">
        <v>0.3</v>
      </c>
      <c r="C106" s="1">
        <v>0.4</v>
      </c>
      <c r="D106" s="1">
        <v>0</v>
      </c>
      <c r="E106" s="1">
        <v>0.5</v>
      </c>
    </row>
    <row r="108" spans="1:6" x14ac:dyDescent="0.25">
      <c r="A108" t="s">
        <v>10</v>
      </c>
      <c r="B108" t="s">
        <v>23</v>
      </c>
    </row>
    <row r="110" spans="1:6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21</v>
      </c>
    </row>
    <row r="111" spans="1:6" x14ac:dyDescent="0.25">
      <c r="A111" t="s">
        <v>5</v>
      </c>
      <c r="B111">
        <v>0.3</v>
      </c>
      <c r="C111">
        <v>0.4</v>
      </c>
      <c r="D111">
        <v>0</v>
      </c>
      <c r="E111">
        <v>0.8</v>
      </c>
      <c r="F111">
        <v>0.4</v>
      </c>
    </row>
    <row r="112" spans="1:6" x14ac:dyDescent="0.25">
      <c r="A112" t="s">
        <v>6</v>
      </c>
      <c r="B112">
        <v>0.3</v>
      </c>
      <c r="C112">
        <v>0.4</v>
      </c>
      <c r="D112">
        <v>0</v>
      </c>
      <c r="E112">
        <v>0.8</v>
      </c>
    </row>
    <row r="113" spans="1:6" x14ac:dyDescent="0.25">
      <c r="A113" t="s">
        <v>7</v>
      </c>
      <c r="B113">
        <v>2.5</v>
      </c>
      <c r="C113">
        <v>0.6</v>
      </c>
      <c r="D113">
        <v>-200</v>
      </c>
      <c r="E113">
        <v>-0.05</v>
      </c>
    </row>
    <row r="114" spans="1:6" x14ac:dyDescent="0.25">
      <c r="A114" t="s">
        <v>8</v>
      </c>
      <c r="B114" s="1">
        <v>2.5</v>
      </c>
      <c r="C114" s="1">
        <v>0.6</v>
      </c>
      <c r="D114" s="1">
        <v>-200</v>
      </c>
      <c r="E114" s="1">
        <v>-0.05</v>
      </c>
    </row>
    <row r="115" spans="1:6" x14ac:dyDescent="0.25">
      <c r="A115" t="s">
        <v>9</v>
      </c>
      <c r="B115">
        <v>0.3</v>
      </c>
      <c r="C115">
        <v>0.4</v>
      </c>
      <c r="D115">
        <v>0</v>
      </c>
      <c r="E115">
        <v>0.8</v>
      </c>
    </row>
    <row r="116" spans="1:6" x14ac:dyDescent="0.25">
      <c r="A116" t="s">
        <v>22</v>
      </c>
      <c r="B116">
        <v>0.3</v>
      </c>
      <c r="C116">
        <v>0.4</v>
      </c>
      <c r="D116">
        <v>0</v>
      </c>
      <c r="E116">
        <v>0.5</v>
      </c>
    </row>
    <row r="118" spans="1:6" x14ac:dyDescent="0.25">
      <c r="A118" t="s">
        <v>10</v>
      </c>
      <c r="B118" t="s">
        <v>24</v>
      </c>
    </row>
    <row r="120" spans="1:6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21</v>
      </c>
    </row>
    <row r="121" spans="1:6" x14ac:dyDescent="0.25">
      <c r="A121" t="s">
        <v>5</v>
      </c>
      <c r="B121" s="1">
        <v>0.4</v>
      </c>
      <c r="C121">
        <v>0.4</v>
      </c>
      <c r="D121">
        <v>0</v>
      </c>
      <c r="E121" s="1">
        <v>0.6</v>
      </c>
      <c r="F121" s="1">
        <v>0.5</v>
      </c>
    </row>
    <row r="122" spans="1:6" x14ac:dyDescent="0.25">
      <c r="A122" t="s">
        <v>6</v>
      </c>
      <c r="B122" s="1">
        <v>0.4</v>
      </c>
      <c r="C122">
        <v>0.4</v>
      </c>
      <c r="D122">
        <v>0</v>
      </c>
      <c r="E122" s="1">
        <v>0.6</v>
      </c>
    </row>
    <row r="123" spans="1:6" x14ac:dyDescent="0.25">
      <c r="A123" t="s">
        <v>7</v>
      </c>
      <c r="B123">
        <v>2.5</v>
      </c>
      <c r="C123">
        <v>0.6</v>
      </c>
      <c r="D123">
        <v>-200</v>
      </c>
      <c r="E123">
        <v>-0.05</v>
      </c>
    </row>
    <row r="124" spans="1:6" x14ac:dyDescent="0.25">
      <c r="A124" t="s">
        <v>8</v>
      </c>
      <c r="B124">
        <v>2.5</v>
      </c>
      <c r="C124">
        <v>0.6</v>
      </c>
      <c r="D124">
        <v>-200</v>
      </c>
      <c r="E124">
        <v>-0.05</v>
      </c>
    </row>
    <row r="125" spans="1:6" x14ac:dyDescent="0.25">
      <c r="A125" t="s">
        <v>9</v>
      </c>
      <c r="B125" s="1">
        <v>0.4</v>
      </c>
      <c r="C125">
        <v>0.4</v>
      </c>
      <c r="D125">
        <v>0</v>
      </c>
      <c r="E125" s="1">
        <v>0.6</v>
      </c>
    </row>
    <row r="126" spans="1:6" x14ac:dyDescent="0.25">
      <c r="A126" t="s">
        <v>22</v>
      </c>
      <c r="B126" s="1">
        <v>0.4</v>
      </c>
      <c r="C126">
        <v>0.4</v>
      </c>
      <c r="D126">
        <v>0</v>
      </c>
      <c r="E126" s="1">
        <v>0.3</v>
      </c>
    </row>
    <row r="128" spans="1:6" x14ac:dyDescent="0.25">
      <c r="A12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3015-86ED-4A9C-A388-1FD2B26416AA}">
  <dimension ref="A1:AS69"/>
  <sheetViews>
    <sheetView tabSelected="1" topLeftCell="I31" zoomScale="85" zoomScaleNormal="85" workbookViewId="0">
      <selection activeCell="Q44" sqref="Q44"/>
    </sheetView>
  </sheetViews>
  <sheetFormatPr defaultColWidth="8.85546875" defaultRowHeight="15" x14ac:dyDescent="0.25"/>
  <cols>
    <col min="1" max="1" width="11.140625" customWidth="1"/>
    <col min="2" max="2" width="21.7109375" customWidth="1"/>
  </cols>
  <sheetData>
    <row r="1" spans="1:22" x14ac:dyDescent="0.25">
      <c r="A1" t="s">
        <v>50</v>
      </c>
      <c r="C1" t="s">
        <v>25</v>
      </c>
    </row>
    <row r="2" spans="1:22" x14ac:dyDescent="0.25">
      <c r="A2" t="s">
        <v>26</v>
      </c>
      <c r="B2" t="s">
        <v>27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</row>
    <row r="3" spans="1:22" x14ac:dyDescent="0.25">
      <c r="A3" t="s">
        <v>5</v>
      </c>
      <c r="B3" t="s">
        <v>1</v>
      </c>
      <c r="C3">
        <v>0.4</v>
      </c>
      <c r="D3">
        <v>0.4</v>
      </c>
      <c r="E3">
        <v>0.4</v>
      </c>
      <c r="F3">
        <v>0.4</v>
      </c>
      <c r="G3">
        <v>0.4</v>
      </c>
      <c r="H3">
        <v>0.4</v>
      </c>
      <c r="I3">
        <v>0.6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</row>
    <row r="4" spans="1:22" x14ac:dyDescent="0.25">
      <c r="B4" t="s">
        <v>2</v>
      </c>
      <c r="C4">
        <v>0.4</v>
      </c>
      <c r="D4">
        <v>0.4</v>
      </c>
      <c r="E4">
        <v>0.4</v>
      </c>
      <c r="F4">
        <v>0.4</v>
      </c>
      <c r="G4">
        <v>0.4</v>
      </c>
      <c r="H4">
        <v>0.4</v>
      </c>
      <c r="I4">
        <v>0.4</v>
      </c>
      <c r="J4">
        <v>0.4</v>
      </c>
      <c r="K4">
        <v>0.4</v>
      </c>
      <c r="L4">
        <v>0.4</v>
      </c>
      <c r="M4">
        <v>0.4</v>
      </c>
      <c r="N4">
        <v>0.4</v>
      </c>
      <c r="O4">
        <v>0.3</v>
      </c>
      <c r="P4">
        <v>0.5</v>
      </c>
      <c r="Q4">
        <v>0.5</v>
      </c>
    </row>
    <row r="5" spans="1:22" x14ac:dyDescent="0.25">
      <c r="B5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2" x14ac:dyDescent="0.25">
      <c r="B6" t="s">
        <v>4</v>
      </c>
      <c r="C6">
        <v>0.1</v>
      </c>
      <c r="D6">
        <v>0.2</v>
      </c>
      <c r="E6">
        <v>0.2</v>
      </c>
      <c r="F6">
        <v>0.3</v>
      </c>
      <c r="G6">
        <v>0.4</v>
      </c>
      <c r="H6">
        <v>0.4</v>
      </c>
      <c r="I6">
        <v>0.4</v>
      </c>
      <c r="J6">
        <v>0.4</v>
      </c>
      <c r="K6">
        <v>0.6</v>
      </c>
      <c r="L6">
        <v>0.5</v>
      </c>
      <c r="M6">
        <v>0.45</v>
      </c>
      <c r="N6">
        <v>0.45</v>
      </c>
      <c r="O6">
        <v>0.45</v>
      </c>
      <c r="P6">
        <v>0.45</v>
      </c>
      <c r="Q6">
        <v>0.45</v>
      </c>
    </row>
    <row r="7" spans="1:22" x14ac:dyDescent="0.25">
      <c r="A7" t="s">
        <v>6</v>
      </c>
      <c r="B7" t="s">
        <v>1</v>
      </c>
      <c r="C7">
        <v>0.4</v>
      </c>
      <c r="D7">
        <v>0.4</v>
      </c>
      <c r="E7">
        <v>0.4</v>
      </c>
      <c r="F7">
        <v>0.4</v>
      </c>
      <c r="G7">
        <v>0.4</v>
      </c>
      <c r="H7">
        <v>0.4</v>
      </c>
      <c r="I7">
        <v>0.6</v>
      </c>
      <c r="J7">
        <v>0.6</v>
      </c>
      <c r="K7">
        <v>0.6</v>
      </c>
      <c r="L7">
        <v>0.6</v>
      </c>
      <c r="M7">
        <v>0.6</v>
      </c>
      <c r="N7">
        <v>0.6</v>
      </c>
      <c r="O7">
        <v>0.6</v>
      </c>
      <c r="P7">
        <v>0.6</v>
      </c>
      <c r="Q7">
        <v>0.6</v>
      </c>
    </row>
    <row r="8" spans="1:22" x14ac:dyDescent="0.25">
      <c r="B8" t="s">
        <v>2</v>
      </c>
      <c r="C8">
        <v>0.4</v>
      </c>
      <c r="D8">
        <v>0.4</v>
      </c>
      <c r="E8">
        <v>0.4</v>
      </c>
      <c r="F8">
        <v>0.4</v>
      </c>
      <c r="G8">
        <v>0.4</v>
      </c>
      <c r="H8">
        <v>0.4</v>
      </c>
      <c r="I8">
        <v>0.4</v>
      </c>
      <c r="J8">
        <v>0.4</v>
      </c>
      <c r="K8">
        <v>0.4</v>
      </c>
      <c r="L8">
        <v>0.4</v>
      </c>
      <c r="M8">
        <v>0.4</v>
      </c>
      <c r="N8">
        <v>0.4</v>
      </c>
      <c r="O8">
        <v>0.2</v>
      </c>
      <c r="P8">
        <v>0.4</v>
      </c>
      <c r="Q8">
        <v>0.4</v>
      </c>
    </row>
    <row r="9" spans="1:22" x14ac:dyDescent="0.25">
      <c r="B9" t="s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25">
      <c r="B10" t="s">
        <v>4</v>
      </c>
      <c r="C10">
        <v>0.1</v>
      </c>
      <c r="D10">
        <v>0.1</v>
      </c>
      <c r="E10">
        <v>0.2</v>
      </c>
      <c r="F10">
        <v>0.3</v>
      </c>
      <c r="G10">
        <v>0.3</v>
      </c>
      <c r="H10">
        <v>0.4</v>
      </c>
      <c r="I10">
        <v>0.4</v>
      </c>
      <c r="J10">
        <v>0.4</v>
      </c>
      <c r="K10">
        <v>0.4</v>
      </c>
      <c r="L10">
        <v>0.4</v>
      </c>
      <c r="M10">
        <v>0.4</v>
      </c>
      <c r="N10">
        <v>0.45</v>
      </c>
      <c r="O10">
        <v>0.45</v>
      </c>
      <c r="P10">
        <v>0.45</v>
      </c>
      <c r="Q10">
        <v>0.45</v>
      </c>
    </row>
    <row r="11" spans="1:22" x14ac:dyDescent="0.25">
      <c r="A11" t="s">
        <v>28</v>
      </c>
      <c r="B11" t="s">
        <v>1</v>
      </c>
      <c r="C11">
        <v>2.5</v>
      </c>
      <c r="D11">
        <v>2.5</v>
      </c>
      <c r="E11">
        <v>2.5</v>
      </c>
      <c r="F11">
        <v>2.5</v>
      </c>
      <c r="G11">
        <v>2.5</v>
      </c>
      <c r="H11">
        <v>2.5</v>
      </c>
      <c r="I11">
        <v>2.5</v>
      </c>
      <c r="J11">
        <v>2.5</v>
      </c>
      <c r="K11">
        <v>2.5</v>
      </c>
      <c r="L11">
        <v>2.5</v>
      </c>
      <c r="M11">
        <v>2.5</v>
      </c>
      <c r="N11">
        <v>2.5</v>
      </c>
      <c r="O11">
        <v>2.5</v>
      </c>
      <c r="P11">
        <v>2.5</v>
      </c>
      <c r="Q11">
        <v>2.5</v>
      </c>
    </row>
    <row r="12" spans="1:22" x14ac:dyDescent="0.25">
      <c r="B12" t="s">
        <v>2</v>
      </c>
      <c r="C12">
        <v>0.6</v>
      </c>
      <c r="D12">
        <v>0.6</v>
      </c>
      <c r="E12">
        <v>0.6</v>
      </c>
      <c r="F12">
        <v>0.6</v>
      </c>
      <c r="G12">
        <v>0.6</v>
      </c>
      <c r="H12">
        <v>0.6</v>
      </c>
      <c r="I12">
        <v>0.6</v>
      </c>
      <c r="J12">
        <v>0.6</v>
      </c>
      <c r="K12">
        <v>0.6</v>
      </c>
      <c r="L12">
        <v>0.6</v>
      </c>
      <c r="M12">
        <v>0.6</v>
      </c>
      <c r="N12">
        <v>0.6</v>
      </c>
      <c r="O12">
        <v>0.6</v>
      </c>
      <c r="P12">
        <v>0.6</v>
      </c>
      <c r="Q12">
        <v>0.6</v>
      </c>
    </row>
    <row r="13" spans="1:22" x14ac:dyDescent="0.25">
      <c r="B13" t="s">
        <v>3</v>
      </c>
      <c r="C13">
        <v>-200</v>
      </c>
      <c r="D13">
        <v>-200</v>
      </c>
      <c r="E13">
        <v>-200</v>
      </c>
      <c r="F13">
        <v>-200</v>
      </c>
      <c r="G13">
        <v>-200</v>
      </c>
      <c r="H13">
        <v>-200</v>
      </c>
      <c r="I13">
        <v>-200</v>
      </c>
      <c r="J13">
        <v>-200</v>
      </c>
      <c r="K13">
        <v>-200</v>
      </c>
      <c r="L13">
        <v>-200</v>
      </c>
      <c r="M13">
        <v>-200</v>
      </c>
      <c r="N13">
        <v>-200</v>
      </c>
      <c r="O13">
        <v>-200</v>
      </c>
      <c r="P13">
        <v>-200</v>
      </c>
      <c r="Q13">
        <v>-200</v>
      </c>
    </row>
    <row r="14" spans="1:22" x14ac:dyDescent="0.25">
      <c r="B14" t="s">
        <v>4</v>
      </c>
      <c r="C14">
        <v>-0.05</v>
      </c>
      <c r="D14">
        <v>-0.05</v>
      </c>
      <c r="E14">
        <v>-0.05</v>
      </c>
      <c r="F14">
        <v>-0.05</v>
      </c>
      <c r="G14">
        <v>-0.05</v>
      </c>
      <c r="H14">
        <v>-0.05</v>
      </c>
      <c r="I14">
        <v>-0.05</v>
      </c>
      <c r="J14">
        <v>-0.05</v>
      </c>
      <c r="K14">
        <v>-0.05</v>
      </c>
      <c r="L14">
        <v>-0.05</v>
      </c>
      <c r="M14">
        <v>-0.05</v>
      </c>
      <c r="N14">
        <v>-0.05</v>
      </c>
      <c r="O14">
        <v>-0.05</v>
      </c>
      <c r="P14">
        <v>-0.05</v>
      </c>
      <c r="Q14">
        <v>-0.05</v>
      </c>
    </row>
    <row r="15" spans="1:22" x14ac:dyDescent="0.25">
      <c r="A15" t="s">
        <v>8</v>
      </c>
      <c r="B15" t="s">
        <v>1</v>
      </c>
      <c r="C15">
        <v>2.5</v>
      </c>
      <c r="D15">
        <v>2.5</v>
      </c>
      <c r="E15">
        <v>2.5</v>
      </c>
      <c r="F15">
        <v>2.5</v>
      </c>
      <c r="G15">
        <v>2.5</v>
      </c>
      <c r="H15">
        <v>2.5</v>
      </c>
      <c r="I15">
        <v>2.5</v>
      </c>
      <c r="J15">
        <v>2.5</v>
      </c>
      <c r="K15">
        <v>2.5</v>
      </c>
      <c r="L15">
        <v>2.5</v>
      </c>
      <c r="M15">
        <v>2.5</v>
      </c>
      <c r="N15">
        <v>2.5</v>
      </c>
      <c r="O15">
        <v>2.5</v>
      </c>
      <c r="P15">
        <v>2.5</v>
      </c>
      <c r="Q15">
        <v>2.5</v>
      </c>
    </row>
    <row r="16" spans="1:22" x14ac:dyDescent="0.25">
      <c r="B16" t="s">
        <v>2</v>
      </c>
      <c r="C16">
        <v>0.6</v>
      </c>
      <c r="D16">
        <v>0.6</v>
      </c>
      <c r="E16">
        <v>0.6</v>
      </c>
      <c r="F16">
        <v>0.6</v>
      </c>
      <c r="G16">
        <v>0.6</v>
      </c>
      <c r="H16">
        <v>0.6</v>
      </c>
      <c r="I16">
        <v>0.6</v>
      </c>
      <c r="J16">
        <v>0.6</v>
      </c>
      <c r="K16">
        <v>0.6</v>
      </c>
      <c r="L16">
        <v>0.6</v>
      </c>
      <c r="M16">
        <v>0.6</v>
      </c>
      <c r="N16">
        <v>0.6</v>
      </c>
      <c r="O16">
        <v>0.6</v>
      </c>
      <c r="P16">
        <v>0.6</v>
      </c>
      <c r="Q16">
        <v>0.6</v>
      </c>
    </row>
    <row r="17" spans="1:17" x14ac:dyDescent="0.25">
      <c r="B17" t="s">
        <v>3</v>
      </c>
      <c r="C17">
        <v>-200</v>
      </c>
      <c r="D17">
        <v>-200</v>
      </c>
      <c r="E17">
        <v>-200</v>
      </c>
      <c r="F17">
        <v>-200</v>
      </c>
      <c r="G17">
        <v>-200</v>
      </c>
      <c r="H17">
        <v>-200</v>
      </c>
      <c r="I17">
        <v>-200</v>
      </c>
      <c r="J17">
        <v>-200</v>
      </c>
      <c r="K17">
        <v>-200</v>
      </c>
      <c r="L17">
        <v>-200</v>
      </c>
      <c r="M17">
        <v>-200</v>
      </c>
      <c r="N17">
        <v>-200</v>
      </c>
      <c r="O17">
        <v>-200</v>
      </c>
      <c r="P17">
        <v>-200</v>
      </c>
      <c r="Q17">
        <v>-200</v>
      </c>
    </row>
    <row r="18" spans="1:17" x14ac:dyDescent="0.25">
      <c r="B18" t="s">
        <v>4</v>
      </c>
      <c r="C18">
        <v>-0.05</v>
      </c>
      <c r="D18">
        <v>-0.05</v>
      </c>
      <c r="E18">
        <v>-0.05</v>
      </c>
      <c r="F18">
        <v>-0.05</v>
      </c>
      <c r="G18">
        <v>-0.05</v>
      </c>
      <c r="H18">
        <v>-0.05</v>
      </c>
      <c r="I18">
        <v>-0.05</v>
      </c>
      <c r="J18">
        <v>-0.05</v>
      </c>
      <c r="K18">
        <v>-0.05</v>
      </c>
      <c r="L18">
        <v>-0.05</v>
      </c>
      <c r="M18">
        <v>-0.05</v>
      </c>
      <c r="N18">
        <v>-0.05</v>
      </c>
      <c r="O18">
        <v>-0.05</v>
      </c>
      <c r="P18">
        <v>-0.05</v>
      </c>
      <c r="Q18">
        <v>-0.05</v>
      </c>
    </row>
    <row r="19" spans="1:17" x14ac:dyDescent="0.25">
      <c r="A19" t="s">
        <v>9</v>
      </c>
      <c r="B19" t="s">
        <v>1</v>
      </c>
      <c r="C19">
        <v>0.4</v>
      </c>
      <c r="D19">
        <v>0.4</v>
      </c>
      <c r="E19">
        <v>0.4</v>
      </c>
      <c r="F19">
        <v>0.4</v>
      </c>
      <c r="G19">
        <v>0.4</v>
      </c>
      <c r="H19">
        <v>0.4</v>
      </c>
      <c r="I19">
        <v>0.4</v>
      </c>
      <c r="J19">
        <v>0.4</v>
      </c>
      <c r="K19">
        <v>0.4</v>
      </c>
      <c r="L19">
        <v>0.4</v>
      </c>
      <c r="M19">
        <v>0.4</v>
      </c>
      <c r="N19">
        <v>0.4</v>
      </c>
      <c r="O19">
        <v>0.4</v>
      </c>
      <c r="P19">
        <v>0.4</v>
      </c>
      <c r="Q19">
        <v>0.4</v>
      </c>
    </row>
    <row r="20" spans="1:17" x14ac:dyDescent="0.25">
      <c r="B20" t="s">
        <v>2</v>
      </c>
      <c r="C20">
        <v>0.4</v>
      </c>
      <c r="D20">
        <v>0.4</v>
      </c>
      <c r="E20">
        <v>0.4</v>
      </c>
      <c r="F20">
        <v>0.4</v>
      </c>
      <c r="G20">
        <v>0.4</v>
      </c>
      <c r="H20">
        <v>0.4</v>
      </c>
      <c r="I20">
        <v>0.4</v>
      </c>
      <c r="J20">
        <v>0.4</v>
      </c>
      <c r="K20">
        <v>0.4</v>
      </c>
      <c r="L20">
        <v>0.4</v>
      </c>
      <c r="M20">
        <v>0.4</v>
      </c>
      <c r="N20">
        <v>0.4</v>
      </c>
      <c r="O20">
        <v>0.4</v>
      </c>
      <c r="P20">
        <v>0.4</v>
      </c>
      <c r="Q20">
        <v>0.4</v>
      </c>
    </row>
    <row r="21" spans="1:17" x14ac:dyDescent="0.25">
      <c r="B21" t="s">
        <v>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B22" t="s">
        <v>4</v>
      </c>
      <c r="C22">
        <v>0.1</v>
      </c>
      <c r="D22">
        <v>0.1</v>
      </c>
      <c r="E22">
        <v>0.2</v>
      </c>
      <c r="F22">
        <v>0.2</v>
      </c>
      <c r="G22">
        <v>0.2</v>
      </c>
      <c r="H22">
        <v>0.4</v>
      </c>
      <c r="I22">
        <v>0.4</v>
      </c>
      <c r="J22">
        <v>0.4</v>
      </c>
      <c r="K22">
        <v>0.4</v>
      </c>
      <c r="L22">
        <v>0.4</v>
      </c>
      <c r="M22">
        <v>0.4</v>
      </c>
      <c r="N22">
        <v>0.4</v>
      </c>
      <c r="O22">
        <v>0.4</v>
      </c>
      <c r="P22">
        <v>0.4</v>
      </c>
      <c r="Q22">
        <v>0.4</v>
      </c>
    </row>
    <row r="23" spans="1:17" x14ac:dyDescent="0.25">
      <c r="A23" t="s">
        <v>29</v>
      </c>
      <c r="B23" t="s">
        <v>1</v>
      </c>
      <c r="C23">
        <v>0.4</v>
      </c>
      <c r="D23">
        <v>0.4</v>
      </c>
      <c r="E23">
        <v>0.4</v>
      </c>
      <c r="F23">
        <v>0.4</v>
      </c>
      <c r="G23">
        <v>0.4</v>
      </c>
      <c r="H23">
        <v>0.4</v>
      </c>
      <c r="I23">
        <v>0.4</v>
      </c>
      <c r="J23">
        <v>0.4</v>
      </c>
      <c r="K23">
        <v>0.4</v>
      </c>
      <c r="L23">
        <v>0.4</v>
      </c>
      <c r="M23">
        <v>0.4</v>
      </c>
      <c r="N23">
        <v>0.4</v>
      </c>
      <c r="O23">
        <v>0.4</v>
      </c>
      <c r="P23">
        <v>0.4</v>
      </c>
      <c r="Q23">
        <v>0.4</v>
      </c>
    </row>
    <row r="24" spans="1:17" x14ac:dyDescent="0.25">
      <c r="B24" t="s">
        <v>2</v>
      </c>
      <c r="C24">
        <v>0.4</v>
      </c>
      <c r="D24">
        <v>0.4</v>
      </c>
      <c r="E24">
        <v>0.4</v>
      </c>
      <c r="F24">
        <v>0.4</v>
      </c>
      <c r="G24">
        <v>0.4</v>
      </c>
      <c r="H24">
        <v>0.4</v>
      </c>
      <c r="I24">
        <v>0.4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</row>
    <row r="25" spans="1:17" x14ac:dyDescent="0.25">
      <c r="B25" t="s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B26" t="s">
        <v>4</v>
      </c>
      <c r="C26">
        <v>0.1</v>
      </c>
      <c r="D26">
        <v>0.1</v>
      </c>
      <c r="E26">
        <v>0.2</v>
      </c>
      <c r="F26">
        <v>0.2</v>
      </c>
      <c r="G26">
        <v>0.2</v>
      </c>
      <c r="H26">
        <v>0.3</v>
      </c>
      <c r="I26">
        <v>0.3</v>
      </c>
      <c r="J26">
        <v>0.3</v>
      </c>
      <c r="K26">
        <v>0.3</v>
      </c>
      <c r="L26">
        <v>0.3</v>
      </c>
      <c r="M26">
        <v>0.3</v>
      </c>
      <c r="N26">
        <v>0.3</v>
      </c>
      <c r="O26">
        <v>0.3</v>
      </c>
      <c r="P26">
        <v>0.3</v>
      </c>
      <c r="Q26">
        <v>0.3</v>
      </c>
    </row>
    <row r="27" spans="1:17" x14ac:dyDescent="0.25">
      <c r="A27" t="s">
        <v>0</v>
      </c>
      <c r="B27" t="s">
        <v>30</v>
      </c>
      <c r="C27">
        <v>0.5</v>
      </c>
      <c r="D27">
        <v>0.5</v>
      </c>
      <c r="E27">
        <v>0.5</v>
      </c>
      <c r="F27">
        <v>0.5</v>
      </c>
      <c r="G27">
        <v>0.5</v>
      </c>
      <c r="H27">
        <v>0.5</v>
      </c>
      <c r="I27">
        <v>0.5</v>
      </c>
      <c r="J27">
        <v>0.5</v>
      </c>
      <c r="K27">
        <v>0.5</v>
      </c>
      <c r="L27">
        <v>0.5</v>
      </c>
      <c r="M27">
        <v>0.5</v>
      </c>
      <c r="N27">
        <v>0.5</v>
      </c>
      <c r="O27">
        <v>0.5</v>
      </c>
      <c r="P27">
        <v>0.5</v>
      </c>
      <c r="Q27">
        <v>0.5</v>
      </c>
    </row>
    <row r="28" spans="1:17" x14ac:dyDescent="0.25">
      <c r="B28" t="s">
        <v>31</v>
      </c>
      <c r="C28">
        <v>30</v>
      </c>
      <c r="D28">
        <v>30</v>
      </c>
      <c r="E28">
        <v>30</v>
      </c>
      <c r="F28">
        <v>30</v>
      </c>
      <c r="G28">
        <v>30</v>
      </c>
      <c r="H28">
        <v>30</v>
      </c>
      <c r="I28">
        <v>30</v>
      </c>
      <c r="J28">
        <v>30</v>
      </c>
      <c r="K28">
        <v>30</v>
      </c>
      <c r="L28">
        <v>30</v>
      </c>
      <c r="M28">
        <v>30</v>
      </c>
      <c r="N28">
        <v>30</v>
      </c>
      <c r="O28">
        <v>30</v>
      </c>
      <c r="P28">
        <v>30</v>
      </c>
      <c r="Q28">
        <v>30</v>
      </c>
    </row>
    <row r="29" spans="1:17" x14ac:dyDescent="0.25">
      <c r="A29" t="s">
        <v>32</v>
      </c>
      <c r="B29" t="s">
        <v>33</v>
      </c>
      <c r="C29">
        <v>0.5</v>
      </c>
      <c r="D29">
        <v>0.5</v>
      </c>
      <c r="E29">
        <v>0.5</v>
      </c>
      <c r="F29">
        <v>0.5</v>
      </c>
      <c r="G29">
        <v>0.5</v>
      </c>
      <c r="H29">
        <v>0.5</v>
      </c>
      <c r="I29">
        <v>0.5</v>
      </c>
      <c r="J29">
        <v>0.5</v>
      </c>
      <c r="K29">
        <v>0.5</v>
      </c>
      <c r="L29">
        <v>0.5</v>
      </c>
      <c r="M29">
        <v>0.5</v>
      </c>
      <c r="N29">
        <v>0.5</v>
      </c>
      <c r="O29">
        <v>0.5</v>
      </c>
      <c r="P29">
        <v>0.5</v>
      </c>
      <c r="Q29">
        <v>0.5</v>
      </c>
    </row>
    <row r="30" spans="1:17" x14ac:dyDescent="0.25">
      <c r="B30" t="s">
        <v>34</v>
      </c>
      <c r="C30">
        <v>0.5</v>
      </c>
      <c r="D30">
        <v>0.5</v>
      </c>
      <c r="E30">
        <v>0.5</v>
      </c>
      <c r="F30">
        <v>0.5</v>
      </c>
      <c r="G30">
        <v>0.5</v>
      </c>
      <c r="H30">
        <v>0.5</v>
      </c>
      <c r="I30">
        <v>0.5</v>
      </c>
      <c r="J30">
        <v>0.5</v>
      </c>
      <c r="K30">
        <v>0.5</v>
      </c>
      <c r="L30">
        <v>0.5</v>
      </c>
      <c r="M30">
        <v>0.5</v>
      </c>
      <c r="N30">
        <v>0.5</v>
      </c>
      <c r="O30">
        <v>0.5</v>
      </c>
      <c r="P30">
        <v>0.5</v>
      </c>
      <c r="Q30">
        <v>0.5</v>
      </c>
    </row>
    <row r="31" spans="1:17" x14ac:dyDescent="0.25">
      <c r="B31" t="s">
        <v>35</v>
      </c>
      <c r="C31">
        <v>3.14</v>
      </c>
      <c r="D31">
        <v>3.14</v>
      </c>
      <c r="E31">
        <v>3.14</v>
      </c>
      <c r="F31">
        <v>3.14</v>
      </c>
      <c r="G31">
        <v>3.14</v>
      </c>
      <c r="H31">
        <v>3.14</v>
      </c>
      <c r="I31">
        <v>3.14</v>
      </c>
      <c r="J31">
        <v>3.14</v>
      </c>
      <c r="K31">
        <v>3.14</v>
      </c>
      <c r="L31">
        <v>3.14</v>
      </c>
      <c r="M31">
        <v>3.14</v>
      </c>
      <c r="N31">
        <v>3.14</v>
      </c>
      <c r="O31">
        <v>3.14</v>
      </c>
      <c r="P31">
        <v>3.14</v>
      </c>
      <c r="Q31">
        <v>3.14</v>
      </c>
    </row>
    <row r="32" spans="1:17" x14ac:dyDescent="0.25">
      <c r="B32" t="s">
        <v>36</v>
      </c>
      <c r="C32">
        <v>0.15</v>
      </c>
      <c r="D32">
        <v>0.15</v>
      </c>
      <c r="E32">
        <v>0.15</v>
      </c>
      <c r="F32">
        <v>0.15</v>
      </c>
      <c r="G32">
        <v>0.15</v>
      </c>
      <c r="H32">
        <v>0.15</v>
      </c>
      <c r="I32">
        <v>0.15</v>
      </c>
      <c r="J32">
        <v>0.15</v>
      </c>
      <c r="K32">
        <v>0.15</v>
      </c>
      <c r="L32">
        <v>0.15</v>
      </c>
      <c r="M32">
        <v>0.15</v>
      </c>
      <c r="N32">
        <v>0.15</v>
      </c>
      <c r="O32">
        <v>0.15</v>
      </c>
      <c r="P32">
        <v>0.15</v>
      </c>
      <c r="Q32">
        <v>0.15</v>
      </c>
    </row>
    <row r="33" spans="1:45" x14ac:dyDescent="0.25">
      <c r="B33" t="s">
        <v>37</v>
      </c>
      <c r="C33">
        <v>0.5</v>
      </c>
      <c r="D33">
        <v>0.5</v>
      </c>
      <c r="E33">
        <v>0.5</v>
      </c>
      <c r="F33">
        <v>0.5</v>
      </c>
      <c r="G33">
        <v>0.5</v>
      </c>
      <c r="H33">
        <v>0.5</v>
      </c>
      <c r="I33">
        <v>0.5</v>
      </c>
      <c r="J33">
        <v>0.5</v>
      </c>
      <c r="K33">
        <v>0.5</v>
      </c>
      <c r="L33">
        <v>0.5</v>
      </c>
      <c r="M33">
        <v>0.5</v>
      </c>
      <c r="N33">
        <v>0.5</v>
      </c>
      <c r="O33">
        <v>0.5</v>
      </c>
      <c r="P33">
        <v>0.5</v>
      </c>
      <c r="Q33">
        <v>0.5</v>
      </c>
    </row>
    <row r="34" spans="1:45" x14ac:dyDescent="0.25">
      <c r="B34" t="s">
        <v>38</v>
      </c>
      <c r="C34">
        <v>90</v>
      </c>
      <c r="D34">
        <v>90</v>
      </c>
      <c r="E34">
        <v>90</v>
      </c>
      <c r="F34">
        <v>90</v>
      </c>
      <c r="G34">
        <v>90</v>
      </c>
      <c r="H34">
        <v>90</v>
      </c>
      <c r="I34">
        <v>90</v>
      </c>
      <c r="J34">
        <v>90</v>
      </c>
      <c r="K34">
        <v>90</v>
      </c>
      <c r="L34">
        <v>90</v>
      </c>
      <c r="M34">
        <v>90</v>
      </c>
      <c r="N34">
        <v>90</v>
      </c>
      <c r="O34">
        <v>90</v>
      </c>
      <c r="P34">
        <v>90</v>
      </c>
      <c r="Q34">
        <v>30</v>
      </c>
    </row>
    <row r="35" spans="1:45" x14ac:dyDescent="0.25">
      <c r="A35" t="s">
        <v>39</v>
      </c>
      <c r="B35" s="5" t="s">
        <v>40</v>
      </c>
      <c r="C35">
        <v>2.6</v>
      </c>
      <c r="D35">
        <v>3.5</v>
      </c>
      <c r="E35">
        <v>5.4</v>
      </c>
      <c r="F35" s="6">
        <v>8.3000000000000007</v>
      </c>
      <c r="G35" s="6">
        <v>9.6</v>
      </c>
      <c r="H35">
        <v>10.8</v>
      </c>
      <c r="I35">
        <v>10.9</v>
      </c>
      <c r="J35">
        <v>10.8</v>
      </c>
      <c r="K35" s="6">
        <v>15.3</v>
      </c>
      <c r="L35" s="6">
        <v>13.2</v>
      </c>
      <c r="M35" s="6">
        <v>11.4</v>
      </c>
      <c r="N35" s="6">
        <v>12.1</v>
      </c>
      <c r="O35" s="6">
        <v>11.7</v>
      </c>
      <c r="P35" s="6">
        <v>11.9</v>
      </c>
      <c r="Q35" s="6">
        <v>12.3</v>
      </c>
    </row>
    <row r="36" spans="1:45" x14ac:dyDescent="0.25">
      <c r="B36" s="5" t="s">
        <v>41</v>
      </c>
      <c r="C36">
        <v>217</v>
      </c>
      <c r="D36">
        <v>197</v>
      </c>
      <c r="E36">
        <v>168</v>
      </c>
      <c r="F36" s="6">
        <v>169</v>
      </c>
      <c r="G36" s="6">
        <v>173</v>
      </c>
      <c r="H36">
        <v>168</v>
      </c>
      <c r="I36">
        <v>209</v>
      </c>
      <c r="J36">
        <v>166</v>
      </c>
      <c r="K36" s="6">
        <v>163</v>
      </c>
      <c r="L36" s="6">
        <v>183</v>
      </c>
      <c r="M36" s="6">
        <v>201</v>
      </c>
      <c r="N36" s="6">
        <v>168</v>
      </c>
      <c r="O36" s="6">
        <v>172</v>
      </c>
      <c r="P36" s="6">
        <v>183</v>
      </c>
      <c r="Q36" s="6">
        <v>172</v>
      </c>
    </row>
    <row r="37" spans="1:45" x14ac:dyDescent="0.25">
      <c r="B37" s="5" t="s">
        <v>42</v>
      </c>
      <c r="C37" s="4">
        <v>0.22</v>
      </c>
      <c r="D37" s="4">
        <v>0.2</v>
      </c>
      <c r="E37" s="4">
        <v>0.19</v>
      </c>
      <c r="F37" s="4">
        <v>7.0000000000000007E-2</v>
      </c>
      <c r="G37" s="4">
        <v>0.09</v>
      </c>
      <c r="H37" s="4">
        <v>0.08</v>
      </c>
      <c r="I37" s="4">
        <v>0.06</v>
      </c>
      <c r="J37" s="4">
        <v>0.15</v>
      </c>
      <c r="K37" s="7">
        <v>0.13</v>
      </c>
      <c r="L37" s="7">
        <v>0.1</v>
      </c>
      <c r="M37" s="7">
        <v>0.17</v>
      </c>
      <c r="N37" s="4">
        <v>0.14000000000000001</v>
      </c>
      <c r="O37" s="7">
        <v>0.13</v>
      </c>
      <c r="P37" s="7">
        <v>0.09</v>
      </c>
      <c r="Q37" s="4">
        <v>0.09</v>
      </c>
    </row>
    <row r="38" spans="1:45" x14ac:dyDescent="0.25">
      <c r="B38" s="5" t="s">
        <v>43</v>
      </c>
      <c r="C38">
        <v>6</v>
      </c>
      <c r="D38">
        <v>8</v>
      </c>
      <c r="E38">
        <v>9</v>
      </c>
      <c r="F38">
        <v>10</v>
      </c>
      <c r="G38" s="6">
        <v>11</v>
      </c>
      <c r="H38">
        <v>11</v>
      </c>
      <c r="I38">
        <v>11</v>
      </c>
      <c r="J38">
        <v>11</v>
      </c>
      <c r="K38" s="6">
        <v>6</v>
      </c>
      <c r="L38" s="6">
        <v>8</v>
      </c>
      <c r="M38" s="6">
        <v>11</v>
      </c>
      <c r="N38" s="6">
        <v>11</v>
      </c>
      <c r="O38" s="6">
        <v>8</v>
      </c>
      <c r="P38" s="6">
        <v>12</v>
      </c>
      <c r="Q38" s="6">
        <v>13</v>
      </c>
    </row>
    <row r="39" spans="1:45" x14ac:dyDescent="0.25">
      <c r="B39" s="5" t="s">
        <v>44</v>
      </c>
      <c r="C39">
        <v>0</v>
      </c>
      <c r="D39">
        <v>0</v>
      </c>
      <c r="E39">
        <v>0</v>
      </c>
      <c r="F39" s="6">
        <v>0</v>
      </c>
      <c r="G39" s="6">
        <v>0</v>
      </c>
      <c r="H39">
        <v>0</v>
      </c>
      <c r="I39">
        <v>0</v>
      </c>
      <c r="J39">
        <v>0</v>
      </c>
      <c r="K39" s="6">
        <v>5</v>
      </c>
      <c r="L39" s="6">
        <v>4</v>
      </c>
      <c r="M39" s="6">
        <v>0</v>
      </c>
      <c r="N39" s="6">
        <v>1</v>
      </c>
      <c r="O39" s="6">
        <v>2</v>
      </c>
      <c r="P39" s="6">
        <v>0</v>
      </c>
      <c r="Q39" s="6">
        <v>0</v>
      </c>
    </row>
    <row r="40" spans="1:45" x14ac:dyDescent="0.25">
      <c r="B40" s="8" t="s">
        <v>40</v>
      </c>
      <c r="C40" s="4">
        <f>IF(C35="", NA(), (C35-MIN($C35:$XFD35))/(MAX($C35:$XFD35)-MIN($C35:$XFD35)))</f>
        <v>0</v>
      </c>
      <c r="D40" s="4">
        <f t="shared" ref="D40:AS40" si="0">IF(D35="", NA(), (D35-MIN($C35:$XFD35))/(MAX($C35:$XFD35)-MIN($C35:$XFD35)))</f>
        <v>7.086614173228345E-2</v>
      </c>
      <c r="E40" s="4">
        <f t="shared" si="0"/>
        <v>0.22047244094488189</v>
      </c>
      <c r="F40" s="4">
        <f t="shared" si="0"/>
        <v>0.44881889763779531</v>
      </c>
      <c r="G40" s="4">
        <f t="shared" si="0"/>
        <v>0.55118110236220463</v>
      </c>
      <c r="H40" s="4">
        <f t="shared" si="0"/>
        <v>0.64566929133858275</v>
      </c>
      <c r="I40" s="4">
        <f t="shared" si="0"/>
        <v>0.65354330708661412</v>
      </c>
      <c r="J40" s="4">
        <f t="shared" si="0"/>
        <v>0.64566929133858275</v>
      </c>
      <c r="K40" s="4">
        <f t="shared" si="0"/>
        <v>1</v>
      </c>
      <c r="L40" s="4">
        <f t="shared" si="0"/>
        <v>0.83464566929133843</v>
      </c>
      <c r="M40" s="4">
        <f t="shared" si="0"/>
        <v>0.69291338582677164</v>
      </c>
      <c r="N40" s="4">
        <f t="shared" si="0"/>
        <v>0.74803149606299202</v>
      </c>
      <c r="O40" s="4">
        <f t="shared" si="0"/>
        <v>0.71653543307086609</v>
      </c>
      <c r="P40" s="4">
        <f t="shared" si="0"/>
        <v>0.73228346456692917</v>
      </c>
      <c r="Q40" s="4">
        <f t="shared" si="0"/>
        <v>0.76377952755905509</v>
      </c>
      <c r="R40" s="4" t="e">
        <f t="shared" si="0"/>
        <v>#N/A</v>
      </c>
      <c r="S40" s="4" t="e">
        <f t="shared" si="0"/>
        <v>#N/A</v>
      </c>
      <c r="T40" s="4" t="e">
        <f t="shared" si="0"/>
        <v>#N/A</v>
      </c>
      <c r="U40" s="4" t="e">
        <f t="shared" si="0"/>
        <v>#N/A</v>
      </c>
      <c r="V40" s="4" t="e">
        <f t="shared" si="0"/>
        <v>#N/A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 x14ac:dyDescent="0.25">
      <c r="B41" s="8" t="s">
        <v>41</v>
      </c>
      <c r="C41" s="4">
        <f>IF(C36="", NA(), (C36-$B$48)/($B$49-$B$48))</f>
        <v>0.54249999999999998</v>
      </c>
      <c r="D41" s="4">
        <f t="shared" ref="D41:AS41" si="1">IF(D36="", NA(), (D36-$B$48)/($B$49-$B$48))</f>
        <v>0.49249999999999999</v>
      </c>
      <c r="E41" s="4">
        <f t="shared" si="1"/>
        <v>0.42</v>
      </c>
      <c r="F41" s="4">
        <f t="shared" si="1"/>
        <v>0.42249999999999999</v>
      </c>
      <c r="G41" s="4">
        <f t="shared" si="1"/>
        <v>0.4325</v>
      </c>
      <c r="H41" s="4">
        <f t="shared" si="1"/>
        <v>0.42</v>
      </c>
      <c r="I41" s="4">
        <f t="shared" si="1"/>
        <v>0.52249999999999996</v>
      </c>
      <c r="J41" s="4">
        <f t="shared" si="1"/>
        <v>0.41499999999999998</v>
      </c>
      <c r="K41" s="4">
        <f t="shared" si="1"/>
        <v>0.40749999999999997</v>
      </c>
      <c r="L41" s="4">
        <f t="shared" si="1"/>
        <v>0.45750000000000002</v>
      </c>
      <c r="M41" s="4">
        <f t="shared" si="1"/>
        <v>0.50249999999999995</v>
      </c>
      <c r="N41" s="4">
        <f t="shared" si="1"/>
        <v>0.42</v>
      </c>
      <c r="O41" s="4">
        <f t="shared" si="1"/>
        <v>0.43</v>
      </c>
      <c r="P41" s="4">
        <f t="shared" si="1"/>
        <v>0.45750000000000002</v>
      </c>
      <c r="Q41" s="4">
        <f t="shared" si="1"/>
        <v>0.43</v>
      </c>
      <c r="R41" s="4" t="e">
        <f t="shared" si="1"/>
        <v>#N/A</v>
      </c>
      <c r="S41" s="4" t="e">
        <f t="shared" si="1"/>
        <v>#N/A</v>
      </c>
      <c r="T41" s="4" t="e">
        <f t="shared" si="1"/>
        <v>#N/A</v>
      </c>
      <c r="U41" s="4" t="e">
        <f t="shared" si="1"/>
        <v>#N/A</v>
      </c>
      <c r="V41" s="4" t="e">
        <f t="shared" si="1"/>
        <v>#N/A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 x14ac:dyDescent="0.25">
      <c r="B42" s="8" t="s">
        <v>66</v>
      </c>
      <c r="C42" s="4">
        <f>IF(C37="", NA(), (C37-$C$48)/($C$49-$C$48))</f>
        <v>0.22</v>
      </c>
      <c r="D42" s="4">
        <f t="shared" ref="D42:AS42" si="2">IF(D37="", NA(), (D37-$C$48)/($C$49-$C$48))</f>
        <v>0.2</v>
      </c>
      <c r="E42" s="4">
        <f t="shared" si="2"/>
        <v>0.19</v>
      </c>
      <c r="F42" s="4">
        <f t="shared" si="2"/>
        <v>7.0000000000000007E-2</v>
      </c>
      <c r="G42" s="4">
        <f t="shared" si="2"/>
        <v>0.09</v>
      </c>
      <c r="H42" s="4">
        <f t="shared" si="2"/>
        <v>0.08</v>
      </c>
      <c r="I42" s="4">
        <f t="shared" si="2"/>
        <v>0.06</v>
      </c>
      <c r="J42" s="4">
        <f t="shared" si="2"/>
        <v>0.15</v>
      </c>
      <c r="K42" s="4">
        <f t="shared" si="2"/>
        <v>0.13</v>
      </c>
      <c r="L42" s="4">
        <f t="shared" si="2"/>
        <v>0.1</v>
      </c>
      <c r="M42" s="4">
        <f t="shared" si="2"/>
        <v>0.17</v>
      </c>
      <c r="N42" s="4">
        <f t="shared" si="2"/>
        <v>0.14000000000000001</v>
      </c>
      <c r="O42" s="4">
        <f t="shared" si="2"/>
        <v>0.13</v>
      </c>
      <c r="P42" s="4">
        <f t="shared" si="2"/>
        <v>0.09</v>
      </c>
      <c r="Q42" s="4">
        <f t="shared" si="2"/>
        <v>0.09</v>
      </c>
      <c r="R42" s="4" t="e">
        <f t="shared" si="2"/>
        <v>#N/A</v>
      </c>
      <c r="S42" s="4" t="e">
        <f t="shared" si="2"/>
        <v>#N/A</v>
      </c>
      <c r="T42" s="4" t="e">
        <f t="shared" si="2"/>
        <v>#N/A</v>
      </c>
      <c r="U42" s="4" t="e">
        <f t="shared" si="2"/>
        <v>#N/A</v>
      </c>
      <c r="V42" s="4" t="e">
        <f t="shared" si="2"/>
        <v>#N/A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 x14ac:dyDescent="0.25">
      <c r="B43" s="8" t="s">
        <v>45</v>
      </c>
      <c r="C43" s="4">
        <f>IF(C38="", NA(), C38/(C38+C39))</f>
        <v>1</v>
      </c>
      <c r="D43" s="4">
        <f t="shared" ref="D43:AS43" si="3">IF(D38="", NA(), D38/(D38+D39))</f>
        <v>1</v>
      </c>
      <c r="E43" s="4">
        <f t="shared" si="3"/>
        <v>1</v>
      </c>
      <c r="F43" s="4">
        <f t="shared" si="3"/>
        <v>1</v>
      </c>
      <c r="G43" s="4">
        <f t="shared" si="3"/>
        <v>1</v>
      </c>
      <c r="H43" s="4">
        <f t="shared" si="3"/>
        <v>1</v>
      </c>
      <c r="I43" s="4">
        <f t="shared" si="3"/>
        <v>1</v>
      </c>
      <c r="J43" s="4">
        <f t="shared" si="3"/>
        <v>1</v>
      </c>
      <c r="K43" s="4">
        <f t="shared" si="3"/>
        <v>0.54545454545454541</v>
      </c>
      <c r="L43" s="4">
        <f t="shared" si="3"/>
        <v>0.66666666666666663</v>
      </c>
      <c r="M43" s="4">
        <f t="shared" si="3"/>
        <v>1</v>
      </c>
      <c r="N43" s="4">
        <f t="shared" si="3"/>
        <v>0.91666666666666663</v>
      </c>
      <c r="O43" s="4">
        <f t="shared" si="3"/>
        <v>0.8</v>
      </c>
      <c r="P43" s="4">
        <f t="shared" si="3"/>
        <v>1</v>
      </c>
      <c r="Q43" s="4">
        <f t="shared" si="3"/>
        <v>1</v>
      </c>
      <c r="R43" s="4" t="e">
        <f t="shared" si="3"/>
        <v>#N/A</v>
      </c>
      <c r="S43" s="4" t="e">
        <f t="shared" si="3"/>
        <v>#N/A</v>
      </c>
      <c r="T43" s="4" t="e">
        <f t="shared" si="3"/>
        <v>#N/A</v>
      </c>
      <c r="U43" s="4" t="e">
        <f t="shared" si="3"/>
        <v>#N/A</v>
      </c>
      <c r="V43" s="4" t="e">
        <f t="shared" si="3"/>
        <v>#N/A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 s="3" customFormat="1" ht="174" customHeight="1" x14ac:dyDescent="0.25">
      <c r="A44" s="3" t="s">
        <v>10</v>
      </c>
      <c r="B44" s="3" t="s">
        <v>48</v>
      </c>
      <c r="C44" s="3" t="s">
        <v>62</v>
      </c>
      <c r="H44" s="3" t="s">
        <v>46</v>
      </c>
      <c r="I44" s="3" t="s">
        <v>51</v>
      </c>
      <c r="J44" s="3" t="s">
        <v>53</v>
      </c>
      <c r="K44" s="3" t="s">
        <v>56</v>
      </c>
      <c r="L44" s="3" t="s">
        <v>57</v>
      </c>
      <c r="M44" s="3" t="s">
        <v>59</v>
      </c>
      <c r="O44" s="3" t="s">
        <v>61</v>
      </c>
    </row>
    <row r="45" spans="1:45" s="3" customFormat="1" ht="174" customHeight="1" x14ac:dyDescent="0.25">
      <c r="B45" s="3" t="s">
        <v>47</v>
      </c>
      <c r="H45" s="3" t="s">
        <v>49</v>
      </c>
      <c r="I45" s="3" t="s">
        <v>52</v>
      </c>
      <c r="J45" s="3" t="s">
        <v>54</v>
      </c>
      <c r="K45" s="3" t="s">
        <v>55</v>
      </c>
      <c r="L45" s="3" t="s">
        <v>58</v>
      </c>
      <c r="N45" s="3" t="s">
        <v>60</v>
      </c>
    </row>
    <row r="47" spans="1:45" x14ac:dyDescent="0.25">
      <c r="B47" t="s">
        <v>42</v>
      </c>
      <c r="C47" t="s">
        <v>65</v>
      </c>
    </row>
    <row r="48" spans="1:45" x14ac:dyDescent="0.25">
      <c r="A48" t="s">
        <v>63</v>
      </c>
      <c r="B48">
        <v>0</v>
      </c>
      <c r="C48">
        <v>0</v>
      </c>
      <c r="R48" t="s">
        <v>67</v>
      </c>
    </row>
    <row r="49" spans="1:18" x14ac:dyDescent="0.25">
      <c r="A49" t="s">
        <v>64</v>
      </c>
      <c r="B49">
        <v>400</v>
      </c>
      <c r="C49">
        <v>1</v>
      </c>
      <c r="R49">
        <v>5</v>
      </c>
    </row>
    <row r="50" spans="1:18" x14ac:dyDescent="0.25">
      <c r="R50">
        <v>9</v>
      </c>
    </row>
    <row r="67" spans="6:9" x14ac:dyDescent="0.25">
      <c r="F67">
        <v>31</v>
      </c>
      <c r="G67">
        <v>47</v>
      </c>
      <c r="H67">
        <v>216</v>
      </c>
      <c r="I67">
        <v>210</v>
      </c>
    </row>
    <row r="68" spans="6:9" x14ac:dyDescent="0.25">
      <c r="F68">
        <v>78</v>
      </c>
      <c r="G68">
        <v>127</v>
      </c>
      <c r="H68">
        <v>126</v>
      </c>
      <c r="I68">
        <v>92</v>
      </c>
    </row>
    <row r="69" spans="6:9" x14ac:dyDescent="0.25">
      <c r="F69">
        <v>121</v>
      </c>
      <c r="G69">
        <v>121</v>
      </c>
      <c r="H69">
        <v>42</v>
      </c>
      <c r="I69">
        <v>109</v>
      </c>
    </row>
  </sheetData>
  <conditionalFormatting sqref="L35:M39 N38:N39 N35:N36 O35:P39 D3:Q32 E35:E37 D35:D36 D38:D39 F35:G36 G38 F39:G39 D34:H34 L34:Q34 I34:K39 Q35:Q36 Q38:Q39">
    <cfRule type="expression" dxfId="1" priority="1">
      <formula>IF(D3&lt;&gt;C3, TRUE, FALSE)</formula>
    </cfRule>
  </conditionalFormatting>
  <conditionalFormatting sqref="R3:V34">
    <cfRule type="expression" dxfId="0" priority="2">
      <formula>IF(R3&lt;&gt;#REF!, TRUE, FALSE)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49BB3DED62147A5E639437D023D97" ma:contentTypeVersion="10" ma:contentTypeDescription="Create a new document." ma:contentTypeScope="" ma:versionID="0b0fff0aeb21dc86798fd58f3a23ef70">
  <xsd:schema xmlns:xsd="http://www.w3.org/2001/XMLSchema" xmlns:xs="http://www.w3.org/2001/XMLSchema" xmlns:p="http://schemas.microsoft.com/office/2006/metadata/properties" xmlns:ns2="51ef27c4-f046-4939-b111-4347b29e2271" xmlns:ns3="854cd026-84da-465f-b23d-878deea4fef3" targetNamespace="http://schemas.microsoft.com/office/2006/metadata/properties" ma:root="true" ma:fieldsID="f9fe796e6352f4c23fe4ed78963cd9ba" ns2:_="" ns3:_="">
    <xsd:import namespace="51ef27c4-f046-4939-b111-4347b29e2271"/>
    <xsd:import namespace="854cd026-84da-465f-b23d-878deea4fe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f27c4-f046-4939-b111-4347b29e2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06b285-ac2c-4225-b56d-e54690cf9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cd026-84da-465f-b23d-878deea4fef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fc16be7-9575-47fb-911c-a77405a255e1}" ma:internalName="TaxCatchAll" ma:showField="CatchAllData" ma:web="854cd026-84da-465f-b23d-878deea4fe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4cd026-84da-465f-b23d-878deea4fef3" xsi:nil="true"/>
    <lcf76f155ced4ddcb4097134ff3c332f xmlns="51ef27c4-f046-4939-b111-4347b29e22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C2190E-FF73-4921-8957-1A0114871B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BC5952-C28E-41F8-8CE9-04DBA6B390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f27c4-f046-4939-b111-4347b29e2271"/>
    <ds:schemaRef ds:uri="854cd026-84da-465f-b23d-878deea4fe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452F24-24EE-440B-94BE-41842DF52C64}">
  <ds:schemaRefs>
    <ds:schemaRef ds:uri="854cd026-84da-465f-b23d-878deea4fef3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51ef27c4-f046-4939-b111-4347b29e227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Nev Cohen (student)</dc:creator>
  <cp:keywords/>
  <dc:description/>
  <cp:lastModifiedBy>Nev Cohen (student)</cp:lastModifiedBy>
  <cp:revision/>
  <dcterms:created xsi:type="dcterms:W3CDTF">2026-03-19T10:29:47Z</dcterms:created>
  <dcterms:modified xsi:type="dcterms:W3CDTF">2026-03-20T19:25:27Z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0x01010026649BB3DED62147A5E639437D023D97</vt:lpwstr>
  </property>
  <property fmtid="{D5CDD505-2E9C-101B-9397-08002B2CF9AE}" pid="3" name="MediaServiceImageTags">
    <vt:lpwstr/>
  </property>
</Properties>
</file>